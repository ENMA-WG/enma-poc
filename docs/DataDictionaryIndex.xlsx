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NMA3_TokyoSmmit_PoC\"/>
    </mc:Choice>
  </mc:AlternateContent>
  <xr:revisionPtr revIDLastSave="0" documentId="13_ncr:1_{B6D7D547-5A06-40E5-B730-267AF7D30E1B}" xr6:coauthVersionLast="47" xr6:coauthVersionMax="47" xr10:uidLastSave="{00000000-0000-0000-0000-000000000000}"/>
  <bookViews>
    <workbookView xWindow="3285" yWindow="3045" windowWidth="23415" windowHeight="11250" xr2:uid="{BD5D77E6-136E-4E25-BB0F-CCF0E7E975F4}"/>
  </bookViews>
  <sheets>
    <sheet name="テーブル体系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5" i="1" l="1"/>
  <c r="A4" i="1"/>
  <c r="A6" i="1"/>
  <c r="A8" i="1"/>
  <c r="A9" i="1"/>
  <c r="A11" i="1"/>
  <c r="A13" i="1"/>
  <c r="A17" i="1"/>
  <c r="A19" i="1"/>
  <c r="A20" i="1"/>
  <c r="A23" i="1"/>
  <c r="A24" i="1"/>
  <c r="A25" i="1"/>
  <c r="A30" i="1"/>
  <c r="A32" i="1"/>
  <c r="A40" i="1"/>
  <c r="A46" i="1"/>
  <c r="A48" i="1"/>
  <c r="A50" i="1"/>
  <c r="A52" i="1"/>
  <c r="A54" i="1"/>
  <c r="A56" i="1"/>
</calcChain>
</file>

<file path=xl/sharedStrings.xml><?xml version="1.0" encoding="utf-8"?>
<sst xmlns="http://schemas.openxmlformats.org/spreadsheetml/2006/main" count="229" uniqueCount="140">
  <si>
    <t>No</t>
  </si>
  <si>
    <t>系統名(日)</t>
  </si>
  <si>
    <t>テーブルCODE</t>
  </si>
  <si>
    <t>テーブル名</t>
  </si>
  <si>
    <t>日本語名</t>
  </si>
  <si>
    <t>用途</t>
  </si>
  <si>
    <t>基本分類</t>
  </si>
  <si>
    <t>fluids</t>
  </si>
  <si>
    <t>流体マスタ</t>
  </si>
  <si>
    <t>冷水・温水等</t>
  </si>
  <si>
    <t xml:space="preserve">    </t>
  </si>
  <si>
    <t>work_locations</t>
  </si>
  <si>
    <t>施工場所マスタ</t>
  </si>
  <si>
    <t>天井内・露出等</t>
  </si>
  <si>
    <t>資機材</t>
  </si>
  <si>
    <t>pipe_materials</t>
  </si>
  <si>
    <t>管材マスタ</t>
  </si>
  <si>
    <t>SGP等</t>
  </si>
  <si>
    <t>pipe_standards</t>
  </si>
  <si>
    <t>管規格マスタ</t>
  </si>
  <si>
    <t>JIS等</t>
  </si>
  <si>
    <t>pipe_sizes</t>
  </si>
  <si>
    <t>管サイズマスタ</t>
  </si>
  <si>
    <t>呼び径・外径等</t>
  </si>
  <si>
    <t>insulation_types</t>
  </si>
  <si>
    <t>保温種別マスタ</t>
  </si>
  <si>
    <t>保温仕様分類</t>
  </si>
  <si>
    <t>painting_types</t>
  </si>
  <si>
    <t>塗装種別マスタ</t>
  </si>
  <si>
    <t>塗装仕様分類</t>
  </si>
  <si>
    <t>作業</t>
  </si>
  <si>
    <t>work_types</t>
  </si>
  <si>
    <t>工種マスタ</t>
  </si>
  <si>
    <t>配管・保温・塗装等</t>
  </si>
  <si>
    <t>配管資材</t>
  </si>
  <si>
    <t>Material / Product</t>
    <phoneticPr fontId="1"/>
  </si>
  <si>
    <t xml:space="preserve"> Common / Classification</t>
  </si>
  <si>
    <t xml:space="preserve">Duct </t>
    <phoneticPr fontId="1"/>
  </si>
  <si>
    <t>ダクト材料</t>
  </si>
  <si>
    <t>Insulation</t>
    <phoneticPr fontId="1"/>
  </si>
  <si>
    <t>保温</t>
    <phoneticPr fontId="1"/>
  </si>
  <si>
    <t>塗装</t>
    <phoneticPr fontId="1"/>
  </si>
  <si>
    <t>機器類</t>
    <phoneticPr fontId="1"/>
  </si>
  <si>
    <t>区分</t>
    <phoneticPr fontId="1"/>
  </si>
  <si>
    <t>系統CODE</t>
    <rPh sb="0" eb="2">
      <t>ケイトウ</t>
    </rPh>
    <phoneticPr fontId="1"/>
  </si>
  <si>
    <t>Work / Labor</t>
    <phoneticPr fontId="1"/>
  </si>
  <si>
    <t xml:space="preserve"> External Semantics</t>
    <phoneticPr fontId="1"/>
  </si>
  <si>
    <t>M10</t>
    <phoneticPr fontId="1"/>
  </si>
  <si>
    <t xml:space="preserve">Pipe </t>
    <phoneticPr fontId="1"/>
  </si>
  <si>
    <t>系統名_LVL1</t>
    <phoneticPr fontId="1"/>
  </si>
  <si>
    <t>系統名_LVL2</t>
    <phoneticPr fontId="1"/>
  </si>
  <si>
    <t>M20</t>
    <phoneticPr fontId="1"/>
  </si>
  <si>
    <t>M21</t>
    <phoneticPr fontId="1"/>
  </si>
  <si>
    <t>M22</t>
    <phoneticPr fontId="1"/>
  </si>
  <si>
    <t>M40</t>
    <phoneticPr fontId="1"/>
  </si>
  <si>
    <t>M60</t>
    <phoneticPr fontId="1"/>
  </si>
  <si>
    <t>01</t>
    <phoneticPr fontId="1"/>
  </si>
  <si>
    <t>02</t>
    <phoneticPr fontId="1"/>
  </si>
  <si>
    <t>03</t>
    <phoneticPr fontId="1"/>
  </si>
  <si>
    <t>LVL</t>
    <phoneticPr fontId="1"/>
  </si>
  <si>
    <t>Equipment</t>
    <phoneticPr fontId="1"/>
  </si>
  <si>
    <t>projects</t>
  </si>
  <si>
    <t>calculation_runs</t>
  </si>
  <si>
    <t>ifc_elements</t>
  </si>
  <si>
    <t>element_properties</t>
  </si>
  <si>
    <t>human_reviews</t>
  </si>
  <si>
    <t>standard_documents</t>
  </si>
  <si>
    <t>project_standards</t>
  </si>
  <si>
    <t>insulation_rules</t>
  </si>
  <si>
    <t>painting_rules</t>
  </si>
  <si>
    <t>labor_productivity_rules</t>
  </si>
  <si>
    <t>element_quantity_results</t>
  </si>
  <si>
    <t>quantity_summaries</t>
  </si>
  <si>
    <t>calculation_evidence</t>
  </si>
  <si>
    <t>Project / Transaction</t>
  </si>
  <si>
    <t>Specification</t>
  </si>
  <si>
    <t>Rule</t>
  </si>
  <si>
    <t>Master</t>
  </si>
  <si>
    <t>Output / Result</t>
  </si>
  <si>
    <t>Equipment Material/Product</t>
  </si>
  <si>
    <t>M23</t>
    <phoneticPr fontId="1"/>
  </si>
  <si>
    <t>Construction / Treatment</t>
  </si>
  <si>
    <t>M30</t>
    <phoneticPr fontId="1"/>
  </si>
  <si>
    <t>M31</t>
    <phoneticPr fontId="1"/>
  </si>
  <si>
    <t>M32</t>
    <phoneticPr fontId="1"/>
  </si>
  <si>
    <t>Painting</t>
  </si>
  <si>
    <t>M33</t>
    <phoneticPr fontId="1"/>
  </si>
  <si>
    <t>Support</t>
  </si>
  <si>
    <t>M34</t>
    <phoneticPr fontId="1"/>
  </si>
  <si>
    <t>Vibration Isolation</t>
  </si>
  <si>
    <t>R10</t>
    <phoneticPr fontId="1"/>
  </si>
  <si>
    <t>R20</t>
    <phoneticPr fontId="1"/>
  </si>
  <si>
    <t>R30</t>
    <phoneticPr fontId="1"/>
  </si>
  <si>
    <t>O10</t>
    <phoneticPr fontId="1"/>
  </si>
  <si>
    <t>O20</t>
    <phoneticPr fontId="1"/>
  </si>
  <si>
    <t>O30</t>
    <phoneticPr fontId="1"/>
  </si>
  <si>
    <t>M41</t>
  </si>
  <si>
    <t>HVAC Equipment</t>
  </si>
  <si>
    <t>M42</t>
  </si>
  <si>
    <t>Plumbing Equipment</t>
  </si>
  <si>
    <t>M43</t>
  </si>
  <si>
    <t>Air Terminal</t>
  </si>
  <si>
    <t>M50</t>
    <phoneticPr fontId="1"/>
  </si>
  <si>
    <t>IFC</t>
  </si>
  <si>
    <t>bSDD</t>
  </si>
  <si>
    <t>Classification</t>
  </si>
  <si>
    <t>M61</t>
    <phoneticPr fontId="1"/>
  </si>
  <si>
    <t>M62</t>
    <phoneticPr fontId="1"/>
  </si>
  <si>
    <t>M63</t>
    <phoneticPr fontId="1"/>
  </si>
  <si>
    <t>01</t>
    <phoneticPr fontId="1"/>
  </si>
  <si>
    <t>P10</t>
    <phoneticPr fontId="1"/>
  </si>
  <si>
    <t>P20</t>
    <phoneticPr fontId="1"/>
  </si>
  <si>
    <t>P30</t>
    <phoneticPr fontId="1"/>
  </si>
  <si>
    <t>02</t>
    <phoneticPr fontId="1"/>
  </si>
  <si>
    <t>P40</t>
    <phoneticPr fontId="1"/>
  </si>
  <si>
    <t>S10</t>
    <phoneticPr fontId="1"/>
  </si>
  <si>
    <t>S20</t>
    <phoneticPr fontId="1"/>
  </si>
  <si>
    <t>支持</t>
  </si>
  <si>
    <t>防振</t>
  </si>
  <si>
    <t>空調機器</t>
  </si>
  <si>
    <t>衛生機器</t>
  </si>
  <si>
    <t>吹出口・吸込口等</t>
  </si>
  <si>
    <t>機器を構成する資材・製品情報</t>
  </si>
  <si>
    <t>機器そのものの分類・仕様</t>
  </si>
  <si>
    <t>Insulation Rules</t>
  </si>
  <si>
    <t>保温判定ルール</t>
  </si>
  <si>
    <t>Painting Rules</t>
  </si>
  <si>
    <t>塗装判定ルール</t>
  </si>
  <si>
    <t>Labor Rules</t>
  </si>
  <si>
    <t>歩掛・労務ルール</t>
  </si>
  <si>
    <t>Element Results</t>
  </si>
  <si>
    <t>要素別積算結果</t>
  </si>
  <si>
    <t>Summary Results</t>
  </si>
  <si>
    <t>集計結果</t>
  </si>
  <si>
    <t>Evidence / Provenance</t>
  </si>
  <si>
    <t>計算根拠</t>
  </si>
  <si>
    <t>Standard Documents</t>
  </si>
  <si>
    <t>Specification Sets</t>
  </si>
  <si>
    <t>S30</t>
    <phoneticPr fontId="1"/>
  </si>
  <si>
    <t>specification_sets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</si>
</sst>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E387-F90E-4FC2-983E-840A41342037}">
  <dimension ref="A2:K56"/>
  <sheetViews>
    <sheetView tabSelected="1" topLeftCell="A7" workbookViewId="0">
      <selection activeCell="J15" sqref="J15"/>
    </sheetView>
  </sheetViews>
  <sheetFormatPr defaultRowHeight="18.75" x14ac:dyDescent="0.4"/>
  <cols>
    <col min="1" max="1" width="12.75" customWidth="1"/>
    <col min="2" max="2" width="20.5" bestFit="1" customWidth="1"/>
    <col min="3" max="4" width="10.125" customWidth="1"/>
    <col min="5" max="5" width="18.625" customWidth="1"/>
    <col min="6" max="6" width="16.75" customWidth="1"/>
    <col min="7" max="7" width="10.875" bestFit="1" customWidth="1"/>
    <col min="8" max="8" width="14.75" style="1" customWidth="1"/>
    <col min="9" max="9" width="16.25" customWidth="1"/>
    <col min="10" max="10" width="19.25" bestFit="1" customWidth="1"/>
    <col min="11" max="11" width="27.375" customWidth="1"/>
  </cols>
  <sheetData>
    <row r="2" spans="1:11" x14ac:dyDescent="0.4">
      <c r="A2" s="2" t="s">
        <v>0</v>
      </c>
      <c r="B2" s="2" t="s">
        <v>43</v>
      </c>
      <c r="C2" s="2" t="s">
        <v>44</v>
      </c>
      <c r="D2" s="2" t="s">
        <v>59</v>
      </c>
      <c r="E2" s="2" t="s">
        <v>49</v>
      </c>
      <c r="F2" s="2" t="s">
        <v>50</v>
      </c>
      <c r="G2" s="2" t="s">
        <v>1</v>
      </c>
      <c r="H2" s="3" t="s">
        <v>2</v>
      </c>
      <c r="I2" s="2" t="s">
        <v>3</v>
      </c>
      <c r="J2" s="2" t="s">
        <v>4</v>
      </c>
      <c r="K2" s="2" t="s">
        <v>5</v>
      </c>
    </row>
    <row r="3" spans="1:11" x14ac:dyDescent="0.4">
      <c r="A3" s="2"/>
      <c r="B3" s="2" t="s">
        <v>74</v>
      </c>
      <c r="C3" s="2" t="s">
        <v>110</v>
      </c>
      <c r="D3" s="2">
        <v>1</v>
      </c>
      <c r="E3" s="2"/>
      <c r="F3" s="2"/>
      <c r="G3" s="2"/>
      <c r="H3" s="3"/>
      <c r="I3" s="2"/>
      <c r="J3" s="2"/>
      <c r="K3" s="2"/>
    </row>
    <row r="4" spans="1:11" x14ac:dyDescent="0.4">
      <c r="A4" s="2" t="str">
        <f t="shared" ref="A4:A56" si="0">+C4&amp; "-" &amp;H4</f>
        <v>P10-01</v>
      </c>
      <c r="B4" s="2" t="s">
        <v>74</v>
      </c>
      <c r="C4" s="2" t="s">
        <v>110</v>
      </c>
      <c r="D4" s="2">
        <v>3</v>
      </c>
      <c r="E4" s="2"/>
      <c r="F4" s="2"/>
      <c r="G4" s="2"/>
      <c r="H4" s="3" t="s">
        <v>109</v>
      </c>
      <c r="I4" s="2" t="s">
        <v>61</v>
      </c>
      <c r="J4" s="2"/>
      <c r="K4" s="2"/>
    </row>
    <row r="5" spans="1:11" x14ac:dyDescent="0.4">
      <c r="A5" s="2"/>
      <c r="B5" s="2" t="s">
        <v>74</v>
      </c>
      <c r="C5" s="2" t="s">
        <v>111</v>
      </c>
      <c r="D5" s="2">
        <v>1</v>
      </c>
      <c r="E5" s="2"/>
      <c r="F5" s="2"/>
      <c r="G5" s="2"/>
      <c r="H5" s="3"/>
      <c r="I5" s="2"/>
      <c r="J5" s="2"/>
      <c r="K5" s="2"/>
    </row>
    <row r="6" spans="1:11" x14ac:dyDescent="0.4">
      <c r="A6" s="2" t="str">
        <f t="shared" si="0"/>
        <v>P20-01</v>
      </c>
      <c r="B6" s="2" t="s">
        <v>74</v>
      </c>
      <c r="C6" s="2" t="s">
        <v>111</v>
      </c>
      <c r="D6" s="2">
        <v>3</v>
      </c>
      <c r="E6" s="2"/>
      <c r="F6" s="2"/>
      <c r="G6" s="2"/>
      <c r="H6" s="3" t="s">
        <v>109</v>
      </c>
      <c r="I6" s="2" t="s">
        <v>62</v>
      </c>
      <c r="J6" s="2"/>
      <c r="K6" s="2"/>
    </row>
    <row r="7" spans="1:11" x14ac:dyDescent="0.4">
      <c r="A7" s="2"/>
      <c r="B7" s="2" t="s">
        <v>74</v>
      </c>
      <c r="C7" s="2" t="s">
        <v>112</v>
      </c>
      <c r="D7" s="2">
        <v>1</v>
      </c>
      <c r="E7" s="2"/>
      <c r="F7" s="2"/>
      <c r="G7" s="2"/>
      <c r="H7" s="3"/>
      <c r="I7" s="2"/>
      <c r="J7" s="2"/>
      <c r="K7" s="2"/>
    </row>
    <row r="8" spans="1:11" x14ac:dyDescent="0.4">
      <c r="A8" s="2" t="str">
        <f t="shared" si="0"/>
        <v>P30-01</v>
      </c>
      <c r="B8" s="2" t="s">
        <v>74</v>
      </c>
      <c r="C8" s="2" t="s">
        <v>112</v>
      </c>
      <c r="D8" s="2">
        <v>3</v>
      </c>
      <c r="E8" s="2"/>
      <c r="F8" s="2"/>
      <c r="G8" s="2"/>
      <c r="H8" s="3" t="s">
        <v>109</v>
      </c>
      <c r="I8" s="2" t="s">
        <v>63</v>
      </c>
      <c r="J8" s="2"/>
      <c r="K8" s="2"/>
    </row>
    <row r="9" spans="1:11" x14ac:dyDescent="0.4">
      <c r="A9" s="2" t="str">
        <f t="shared" si="0"/>
        <v>P30-02</v>
      </c>
      <c r="B9" s="2" t="s">
        <v>74</v>
      </c>
      <c r="C9" s="2" t="s">
        <v>112</v>
      </c>
      <c r="D9" s="2">
        <v>3</v>
      </c>
      <c r="E9" s="2"/>
      <c r="F9" s="2"/>
      <c r="G9" s="2"/>
      <c r="H9" s="3" t="s">
        <v>113</v>
      </c>
      <c r="I9" s="2" t="s">
        <v>64</v>
      </c>
      <c r="J9" s="2"/>
      <c r="K9" s="2"/>
    </row>
    <row r="10" spans="1:11" x14ac:dyDescent="0.4">
      <c r="A10" s="2"/>
      <c r="B10" s="2" t="s">
        <v>74</v>
      </c>
      <c r="C10" s="2" t="s">
        <v>114</v>
      </c>
      <c r="D10" s="2">
        <v>1</v>
      </c>
      <c r="E10" s="2"/>
      <c r="F10" s="2"/>
      <c r="G10" s="2"/>
      <c r="H10" s="3"/>
      <c r="I10" s="2"/>
      <c r="J10" s="2"/>
      <c r="K10" s="2"/>
    </row>
    <row r="11" spans="1:11" x14ac:dyDescent="0.4">
      <c r="A11" s="2" t="str">
        <f t="shared" si="0"/>
        <v>P40-01</v>
      </c>
      <c r="B11" s="2" t="s">
        <v>74</v>
      </c>
      <c r="C11" s="2" t="s">
        <v>114</v>
      </c>
      <c r="D11" s="2">
        <v>3</v>
      </c>
      <c r="E11" s="2"/>
      <c r="F11" s="2"/>
      <c r="G11" s="2"/>
      <c r="H11" s="3" t="s">
        <v>109</v>
      </c>
      <c r="I11" s="2" t="s">
        <v>65</v>
      </c>
      <c r="J11" s="2"/>
      <c r="K11" s="2"/>
    </row>
    <row r="12" spans="1:11" x14ac:dyDescent="0.4">
      <c r="A12" s="2"/>
      <c r="B12" s="2" t="s">
        <v>75</v>
      </c>
      <c r="C12" s="2" t="s">
        <v>115</v>
      </c>
      <c r="D12" s="2">
        <v>1</v>
      </c>
      <c r="E12" s="2" t="s">
        <v>136</v>
      </c>
      <c r="F12" s="2"/>
      <c r="G12" s="2"/>
      <c r="H12" s="3"/>
      <c r="I12" s="2"/>
      <c r="J12" s="2"/>
      <c r="K12" s="2"/>
    </row>
    <row r="13" spans="1:11" x14ac:dyDescent="0.4">
      <c r="A13" s="2" t="str">
        <f t="shared" si="0"/>
        <v>S10-01</v>
      </c>
      <c r="B13" s="2" t="s">
        <v>75</v>
      </c>
      <c r="C13" s="2" t="s">
        <v>115</v>
      </c>
      <c r="D13" s="2">
        <v>3</v>
      </c>
      <c r="E13" s="2"/>
      <c r="F13" s="2"/>
      <c r="G13" s="2"/>
      <c r="H13" s="3" t="s">
        <v>109</v>
      </c>
      <c r="I13" s="2" t="s">
        <v>66</v>
      </c>
      <c r="J13" s="2"/>
      <c r="K13" s="2"/>
    </row>
    <row r="14" spans="1:11" x14ac:dyDescent="0.4">
      <c r="A14" s="2"/>
      <c r="B14" s="2" t="s">
        <v>75</v>
      </c>
      <c r="C14" s="2" t="s">
        <v>116</v>
      </c>
      <c r="D14" s="2">
        <v>1</v>
      </c>
      <c r="E14" s="2" t="s">
        <v>137</v>
      </c>
      <c r="F14" s="2"/>
      <c r="G14" s="2"/>
      <c r="H14" s="3"/>
      <c r="I14" s="2"/>
      <c r="J14" s="2"/>
      <c r="K14" s="2"/>
    </row>
    <row r="15" spans="1:11" x14ac:dyDescent="0.4">
      <c r="A15" s="2" t="str">
        <f t="shared" ref="A15" si="1">+C15&amp; "-" &amp;H15</f>
        <v>S20-01</v>
      </c>
      <c r="B15" s="2" t="s">
        <v>75</v>
      </c>
      <c r="C15" s="2" t="s">
        <v>116</v>
      </c>
      <c r="D15" s="2">
        <v>3</v>
      </c>
      <c r="E15" s="2"/>
      <c r="F15" s="2"/>
      <c r="G15" s="2"/>
      <c r="H15" s="3" t="s">
        <v>56</v>
      </c>
      <c r="I15" s="2" t="s">
        <v>139</v>
      </c>
      <c r="J15" s="2"/>
      <c r="K15" s="2"/>
    </row>
    <row r="16" spans="1:11" x14ac:dyDescent="0.4">
      <c r="A16" s="2"/>
      <c r="B16" s="2" t="s">
        <v>75</v>
      </c>
      <c r="C16" s="2" t="s">
        <v>138</v>
      </c>
      <c r="D16" s="2">
        <v>1</v>
      </c>
      <c r="E16" s="2" t="s">
        <v>137</v>
      </c>
      <c r="F16" s="2"/>
      <c r="G16" s="2"/>
      <c r="H16" s="3"/>
      <c r="I16" s="2"/>
      <c r="J16" s="2"/>
      <c r="K16" s="2"/>
    </row>
    <row r="17" spans="1:11" x14ac:dyDescent="0.4">
      <c r="A17" s="2" t="str">
        <f t="shared" si="0"/>
        <v>S30-01</v>
      </c>
      <c r="B17" s="2" t="s">
        <v>75</v>
      </c>
      <c r="C17" s="2" t="s">
        <v>138</v>
      </c>
      <c r="D17" s="2">
        <v>3</v>
      </c>
      <c r="E17" s="2"/>
      <c r="F17" s="2"/>
      <c r="G17" s="2"/>
      <c r="H17" s="3" t="s">
        <v>109</v>
      </c>
      <c r="I17" s="2" t="s">
        <v>67</v>
      </c>
      <c r="J17" s="2"/>
      <c r="K17" s="2"/>
    </row>
    <row r="18" spans="1:11" x14ac:dyDescent="0.4">
      <c r="A18" s="2"/>
      <c r="B18" s="2" t="s">
        <v>77</v>
      </c>
      <c r="C18" s="2" t="s">
        <v>47</v>
      </c>
      <c r="D18" s="2">
        <v>1</v>
      </c>
      <c r="E18" s="2" t="s">
        <v>36</v>
      </c>
      <c r="F18" s="2"/>
      <c r="G18" s="2" t="s">
        <v>6</v>
      </c>
      <c r="H18" s="3"/>
      <c r="I18" s="2"/>
      <c r="J18" s="2"/>
      <c r="K18" s="2"/>
    </row>
    <row r="19" spans="1:11" x14ac:dyDescent="0.4">
      <c r="A19" s="2" t="str">
        <f t="shared" si="0"/>
        <v>M10-01</v>
      </c>
      <c r="B19" s="2" t="s">
        <v>77</v>
      </c>
      <c r="C19" s="2" t="s">
        <v>47</v>
      </c>
      <c r="D19" s="2">
        <v>3</v>
      </c>
      <c r="E19" s="2"/>
      <c r="F19" s="2"/>
      <c r="G19" s="2"/>
      <c r="H19" s="3" t="s">
        <v>56</v>
      </c>
      <c r="I19" s="2" t="s">
        <v>7</v>
      </c>
      <c r="J19" s="2" t="s">
        <v>8</v>
      </c>
      <c r="K19" s="2" t="s">
        <v>9</v>
      </c>
    </row>
    <row r="20" spans="1:11" x14ac:dyDescent="0.4">
      <c r="A20" s="2" t="str">
        <f t="shared" si="0"/>
        <v>M10-02</v>
      </c>
      <c r="B20" s="2" t="s">
        <v>77</v>
      </c>
      <c r="C20" s="2" t="s">
        <v>47</v>
      </c>
      <c r="D20" s="2">
        <v>3</v>
      </c>
      <c r="E20" s="2" t="s">
        <v>10</v>
      </c>
      <c r="F20" s="2"/>
      <c r="G20" s="2"/>
      <c r="H20" s="3" t="s">
        <v>57</v>
      </c>
      <c r="I20" s="2" t="s">
        <v>11</v>
      </c>
      <c r="J20" s="2" t="s">
        <v>12</v>
      </c>
      <c r="K20" s="2" t="s">
        <v>13</v>
      </c>
    </row>
    <row r="21" spans="1:11" x14ac:dyDescent="0.4">
      <c r="A21" s="2"/>
      <c r="B21" s="2" t="s">
        <v>77</v>
      </c>
      <c r="C21" s="2" t="s">
        <v>51</v>
      </c>
      <c r="D21" s="2">
        <v>1</v>
      </c>
      <c r="E21" s="2" t="s">
        <v>35</v>
      </c>
      <c r="F21" s="2"/>
      <c r="G21" s="2" t="s">
        <v>14</v>
      </c>
      <c r="H21" s="3"/>
      <c r="I21" s="2"/>
      <c r="J21" s="2"/>
      <c r="K21" s="2"/>
    </row>
    <row r="22" spans="1:11" x14ac:dyDescent="0.4">
      <c r="A22" s="2"/>
      <c r="B22" s="2" t="s">
        <v>77</v>
      </c>
      <c r="C22" s="2" t="s">
        <v>52</v>
      </c>
      <c r="D22" s="2">
        <v>2</v>
      </c>
      <c r="E22" s="2"/>
      <c r="F22" s="2" t="s">
        <v>48</v>
      </c>
      <c r="G22" s="2" t="s">
        <v>34</v>
      </c>
      <c r="H22" s="3"/>
      <c r="I22" s="2"/>
      <c r="J22" s="2"/>
      <c r="K22" s="2"/>
    </row>
    <row r="23" spans="1:11" x14ac:dyDescent="0.4">
      <c r="A23" s="2" t="str">
        <f t="shared" si="0"/>
        <v>M21-01</v>
      </c>
      <c r="B23" s="2" t="s">
        <v>77</v>
      </c>
      <c r="C23" s="2" t="s">
        <v>52</v>
      </c>
      <c r="D23" s="2">
        <v>3</v>
      </c>
      <c r="E23" s="2"/>
      <c r="F23" s="2"/>
      <c r="G23" s="2"/>
      <c r="H23" s="3" t="s">
        <v>56</v>
      </c>
      <c r="I23" s="2" t="s">
        <v>15</v>
      </c>
      <c r="J23" s="2" t="s">
        <v>16</v>
      </c>
      <c r="K23" s="2" t="s">
        <v>17</v>
      </c>
    </row>
    <row r="24" spans="1:11" x14ac:dyDescent="0.4">
      <c r="A24" s="2" t="str">
        <f t="shared" si="0"/>
        <v>M21-02</v>
      </c>
      <c r="B24" s="2" t="s">
        <v>77</v>
      </c>
      <c r="C24" s="2" t="s">
        <v>52</v>
      </c>
      <c r="D24" s="2">
        <v>3</v>
      </c>
      <c r="E24" s="2"/>
      <c r="F24" s="2"/>
      <c r="G24" s="2"/>
      <c r="H24" s="3" t="s">
        <v>57</v>
      </c>
      <c r="I24" s="2" t="s">
        <v>18</v>
      </c>
      <c r="J24" s="2" t="s">
        <v>19</v>
      </c>
      <c r="K24" s="2" t="s">
        <v>20</v>
      </c>
    </row>
    <row r="25" spans="1:11" x14ac:dyDescent="0.4">
      <c r="A25" s="2" t="str">
        <f t="shared" si="0"/>
        <v>M21-03</v>
      </c>
      <c r="B25" s="2" t="s">
        <v>77</v>
      </c>
      <c r="C25" s="2" t="s">
        <v>52</v>
      </c>
      <c r="D25" s="2">
        <v>3</v>
      </c>
      <c r="E25" s="2"/>
      <c r="F25" s="2"/>
      <c r="G25" s="2"/>
      <c r="H25" s="3" t="s">
        <v>58</v>
      </c>
      <c r="I25" s="2" t="s">
        <v>21</v>
      </c>
      <c r="J25" s="2" t="s">
        <v>22</v>
      </c>
      <c r="K25" s="2" t="s">
        <v>23</v>
      </c>
    </row>
    <row r="26" spans="1:11" x14ac:dyDescent="0.4">
      <c r="A26" s="2"/>
      <c r="B26" s="2" t="s">
        <v>77</v>
      </c>
      <c r="C26" s="2" t="s">
        <v>53</v>
      </c>
      <c r="D26" s="2">
        <v>2</v>
      </c>
      <c r="E26" s="2"/>
      <c r="F26" s="2" t="s">
        <v>37</v>
      </c>
      <c r="G26" s="2" t="s">
        <v>38</v>
      </c>
      <c r="H26" s="3"/>
      <c r="I26" s="2"/>
      <c r="J26" s="2"/>
      <c r="K26" s="2"/>
    </row>
    <row r="27" spans="1:11" x14ac:dyDescent="0.4">
      <c r="A27" s="2"/>
      <c r="B27" s="2" t="s">
        <v>77</v>
      </c>
      <c r="C27" s="2" t="s">
        <v>80</v>
      </c>
      <c r="D27" s="2">
        <v>2</v>
      </c>
      <c r="E27" s="2"/>
      <c r="F27" s="2" t="s">
        <v>79</v>
      </c>
      <c r="G27" s="2"/>
      <c r="H27" s="3"/>
      <c r="I27" s="2"/>
      <c r="J27" s="2"/>
      <c r="K27" s="2" t="s">
        <v>122</v>
      </c>
    </row>
    <row r="28" spans="1:11" x14ac:dyDescent="0.4">
      <c r="A28" s="2"/>
      <c r="B28" s="2" t="s">
        <v>77</v>
      </c>
      <c r="C28" s="2" t="s">
        <v>82</v>
      </c>
      <c r="D28" s="2">
        <v>1</v>
      </c>
      <c r="E28" s="2" t="s">
        <v>81</v>
      </c>
      <c r="F28" s="2"/>
      <c r="G28" s="2"/>
      <c r="H28" s="3"/>
      <c r="I28" s="2"/>
      <c r="J28" s="2"/>
      <c r="K28" s="2"/>
    </row>
    <row r="29" spans="1:11" x14ac:dyDescent="0.4">
      <c r="A29" s="2"/>
      <c r="B29" s="2" t="s">
        <v>77</v>
      </c>
      <c r="C29" s="2" t="s">
        <v>83</v>
      </c>
      <c r="D29" s="2">
        <v>2</v>
      </c>
      <c r="E29" s="2"/>
      <c r="F29" s="2" t="s">
        <v>39</v>
      </c>
      <c r="G29" s="2" t="s">
        <v>40</v>
      </c>
      <c r="H29" s="3"/>
      <c r="I29" s="2"/>
      <c r="J29" s="2"/>
      <c r="K29" s="2"/>
    </row>
    <row r="30" spans="1:11" x14ac:dyDescent="0.4">
      <c r="A30" s="2" t="str">
        <f t="shared" si="0"/>
        <v>M31-01</v>
      </c>
      <c r="B30" s="2" t="s">
        <v>77</v>
      </c>
      <c r="C30" s="2" t="s">
        <v>83</v>
      </c>
      <c r="D30" s="2">
        <v>3</v>
      </c>
      <c r="E30" s="2"/>
      <c r="F30" s="2"/>
      <c r="G30" s="2"/>
      <c r="H30" s="3" t="s">
        <v>56</v>
      </c>
      <c r="I30" s="2" t="s">
        <v>24</v>
      </c>
      <c r="J30" s="2" t="s">
        <v>25</v>
      </c>
      <c r="K30" s="2" t="s">
        <v>26</v>
      </c>
    </row>
    <row r="31" spans="1:11" x14ac:dyDescent="0.4">
      <c r="A31" s="2"/>
      <c r="B31" s="2" t="s">
        <v>77</v>
      </c>
      <c r="C31" s="2" t="s">
        <v>84</v>
      </c>
      <c r="D31" s="2">
        <v>2</v>
      </c>
      <c r="E31" s="2"/>
      <c r="F31" s="2" t="s">
        <v>85</v>
      </c>
      <c r="G31" s="2" t="s">
        <v>41</v>
      </c>
      <c r="H31" s="3"/>
      <c r="I31" s="2"/>
      <c r="J31" s="2"/>
      <c r="K31" s="2"/>
    </row>
    <row r="32" spans="1:11" x14ac:dyDescent="0.4">
      <c r="A32" s="2" t="str">
        <f t="shared" si="0"/>
        <v>M32-01</v>
      </c>
      <c r="B32" s="2" t="s">
        <v>77</v>
      </c>
      <c r="C32" s="2" t="s">
        <v>84</v>
      </c>
      <c r="D32" s="2">
        <v>3</v>
      </c>
      <c r="E32" s="2"/>
      <c r="F32" s="2"/>
      <c r="G32" s="2"/>
      <c r="H32" s="3" t="s">
        <v>56</v>
      </c>
      <c r="I32" s="2" t="s">
        <v>27</v>
      </c>
      <c r="J32" s="2" t="s">
        <v>28</v>
      </c>
      <c r="K32" s="2" t="s">
        <v>29</v>
      </c>
    </row>
    <row r="33" spans="1:11" x14ac:dyDescent="0.4">
      <c r="A33" s="2"/>
      <c r="B33" s="2" t="s">
        <v>77</v>
      </c>
      <c r="C33" s="2" t="s">
        <v>86</v>
      </c>
      <c r="D33" s="2">
        <v>2</v>
      </c>
      <c r="E33" s="2"/>
      <c r="F33" s="2" t="s">
        <v>87</v>
      </c>
      <c r="G33" s="2" t="s">
        <v>117</v>
      </c>
      <c r="H33" s="3"/>
      <c r="I33" s="2"/>
      <c r="J33" s="2"/>
      <c r="K33" s="2"/>
    </row>
    <row r="34" spans="1:11" x14ac:dyDescent="0.4">
      <c r="A34" s="2"/>
      <c r="B34" s="2" t="s">
        <v>77</v>
      </c>
      <c r="C34" s="2" t="s">
        <v>88</v>
      </c>
      <c r="D34" s="2">
        <v>2</v>
      </c>
      <c r="E34" s="2"/>
      <c r="F34" s="2" t="s">
        <v>89</v>
      </c>
      <c r="G34" s="2" t="s">
        <v>118</v>
      </c>
      <c r="H34" s="3"/>
      <c r="I34" s="2"/>
      <c r="J34" s="2"/>
      <c r="K34" s="2"/>
    </row>
    <row r="35" spans="1:11" x14ac:dyDescent="0.4">
      <c r="A35" s="2"/>
      <c r="B35" s="2" t="s">
        <v>77</v>
      </c>
      <c r="C35" s="2" t="s">
        <v>54</v>
      </c>
      <c r="D35" s="2">
        <v>1</v>
      </c>
      <c r="E35" s="2" t="s">
        <v>60</v>
      </c>
      <c r="F35" s="2"/>
      <c r="G35" s="2" t="s">
        <v>42</v>
      </c>
      <c r="H35" s="3"/>
      <c r="I35" s="2"/>
      <c r="J35" s="2"/>
      <c r="K35" s="2" t="s">
        <v>123</v>
      </c>
    </row>
    <row r="36" spans="1:11" x14ac:dyDescent="0.4">
      <c r="A36" s="2"/>
      <c r="B36" s="2" t="s">
        <v>77</v>
      </c>
      <c r="C36" s="2" t="s">
        <v>96</v>
      </c>
      <c r="D36" s="2">
        <v>2</v>
      </c>
      <c r="E36" s="2"/>
      <c r="F36" s="2" t="s">
        <v>97</v>
      </c>
      <c r="G36" s="2" t="s">
        <v>119</v>
      </c>
      <c r="H36" s="3"/>
      <c r="I36" s="2"/>
      <c r="J36" s="2"/>
      <c r="K36" s="2"/>
    </row>
    <row r="37" spans="1:11" x14ac:dyDescent="0.4">
      <c r="A37" s="2"/>
      <c r="B37" s="2" t="s">
        <v>77</v>
      </c>
      <c r="C37" s="2" t="s">
        <v>98</v>
      </c>
      <c r="D37" s="2">
        <v>2</v>
      </c>
      <c r="E37" s="2"/>
      <c r="F37" s="2" t="s">
        <v>99</v>
      </c>
      <c r="G37" s="2" t="s">
        <v>120</v>
      </c>
      <c r="H37" s="3"/>
      <c r="I37" s="2"/>
      <c r="J37" s="2"/>
      <c r="K37" s="2"/>
    </row>
    <row r="38" spans="1:11" x14ac:dyDescent="0.4">
      <c r="A38" s="2"/>
      <c r="B38" s="2" t="s">
        <v>77</v>
      </c>
      <c r="C38" s="2" t="s">
        <v>100</v>
      </c>
      <c r="D38" s="2">
        <v>2</v>
      </c>
      <c r="E38" s="2"/>
      <c r="F38" s="2" t="s">
        <v>101</v>
      </c>
      <c r="G38" s="2" t="s">
        <v>121</v>
      </c>
      <c r="H38" s="3"/>
      <c r="I38" s="2"/>
      <c r="J38" s="2"/>
      <c r="K38" s="2"/>
    </row>
    <row r="39" spans="1:11" x14ac:dyDescent="0.4">
      <c r="A39" s="2"/>
      <c r="B39" s="2" t="s">
        <v>77</v>
      </c>
      <c r="C39" s="2" t="s">
        <v>102</v>
      </c>
      <c r="D39" s="2">
        <v>1</v>
      </c>
      <c r="E39" s="2" t="s">
        <v>45</v>
      </c>
      <c r="F39" s="2"/>
      <c r="G39" s="2" t="s">
        <v>30</v>
      </c>
      <c r="H39" s="3"/>
      <c r="I39" s="2"/>
      <c r="J39" s="2"/>
      <c r="K39" s="2"/>
    </row>
    <row r="40" spans="1:11" x14ac:dyDescent="0.4">
      <c r="A40" s="2" t="str">
        <f t="shared" si="0"/>
        <v>M50-01</v>
      </c>
      <c r="B40" s="2" t="s">
        <v>77</v>
      </c>
      <c r="C40" s="2" t="s">
        <v>102</v>
      </c>
      <c r="D40" s="2">
        <v>3</v>
      </c>
      <c r="E40" s="2"/>
      <c r="F40" s="2"/>
      <c r="G40" s="2"/>
      <c r="H40" s="3" t="s">
        <v>56</v>
      </c>
      <c r="I40" s="2" t="s">
        <v>31</v>
      </c>
      <c r="J40" s="2" t="s">
        <v>32</v>
      </c>
      <c r="K40" s="2" t="s">
        <v>33</v>
      </c>
    </row>
    <row r="41" spans="1:11" x14ac:dyDescent="0.4">
      <c r="A41" s="2"/>
      <c r="B41" s="2" t="s">
        <v>77</v>
      </c>
      <c r="C41" s="2" t="s">
        <v>55</v>
      </c>
      <c r="D41" s="2">
        <v>1</v>
      </c>
      <c r="E41" s="2" t="s">
        <v>46</v>
      </c>
      <c r="F41" s="2"/>
      <c r="G41" s="2"/>
      <c r="H41" s="3"/>
      <c r="I41" s="2"/>
      <c r="J41" s="2"/>
      <c r="K41" s="2"/>
    </row>
    <row r="42" spans="1:11" x14ac:dyDescent="0.4">
      <c r="A42" s="2"/>
      <c r="B42" s="2" t="s">
        <v>77</v>
      </c>
      <c r="C42" s="2" t="s">
        <v>106</v>
      </c>
      <c r="D42" s="2">
        <v>2</v>
      </c>
      <c r="E42" s="2"/>
      <c r="F42" s="2" t="s">
        <v>103</v>
      </c>
      <c r="G42" s="2"/>
      <c r="H42" s="3"/>
      <c r="I42" s="2"/>
      <c r="J42" s="2"/>
      <c r="K42" s="2"/>
    </row>
    <row r="43" spans="1:11" x14ac:dyDescent="0.4">
      <c r="A43" s="2"/>
      <c r="B43" s="2" t="s">
        <v>77</v>
      </c>
      <c r="C43" s="2" t="s">
        <v>107</v>
      </c>
      <c r="D43" s="2">
        <v>2</v>
      </c>
      <c r="E43" s="2"/>
      <c r="F43" s="2" t="s">
        <v>104</v>
      </c>
      <c r="G43" s="2"/>
      <c r="H43" s="3"/>
      <c r="I43" s="2"/>
      <c r="J43" s="2"/>
      <c r="K43" s="2"/>
    </row>
    <row r="44" spans="1:11" x14ac:dyDescent="0.4">
      <c r="A44" s="2"/>
      <c r="B44" s="2" t="s">
        <v>77</v>
      </c>
      <c r="C44" s="2" t="s">
        <v>108</v>
      </c>
      <c r="D44" s="2">
        <v>2</v>
      </c>
      <c r="E44" s="2"/>
      <c r="F44" s="2" t="s">
        <v>105</v>
      </c>
      <c r="G44" s="2"/>
      <c r="H44" s="3"/>
      <c r="I44" s="2"/>
      <c r="J44" s="2"/>
      <c r="K44" s="2"/>
    </row>
    <row r="45" spans="1:11" x14ac:dyDescent="0.4">
      <c r="A45" s="2"/>
      <c r="B45" s="2" t="s">
        <v>76</v>
      </c>
      <c r="C45" s="2" t="s">
        <v>90</v>
      </c>
      <c r="D45" s="2">
        <v>1</v>
      </c>
      <c r="E45" s="2" t="s">
        <v>124</v>
      </c>
      <c r="F45" s="2"/>
      <c r="G45" s="2" t="s">
        <v>125</v>
      </c>
      <c r="H45" s="3"/>
      <c r="I45" s="2"/>
      <c r="J45" s="2"/>
      <c r="K45" s="2"/>
    </row>
    <row r="46" spans="1:11" x14ac:dyDescent="0.4">
      <c r="A46" s="2" t="str">
        <f t="shared" si="0"/>
        <v>R10-01</v>
      </c>
      <c r="B46" s="2" t="s">
        <v>76</v>
      </c>
      <c r="C46" s="2" t="s">
        <v>90</v>
      </c>
      <c r="D46" s="2">
        <v>3</v>
      </c>
      <c r="E46" s="2"/>
      <c r="F46" s="2"/>
      <c r="G46" s="2"/>
      <c r="H46" s="3" t="s">
        <v>109</v>
      </c>
      <c r="I46" s="2" t="s">
        <v>68</v>
      </c>
      <c r="J46" s="2"/>
      <c r="K46" s="2"/>
    </row>
    <row r="47" spans="1:11" x14ac:dyDescent="0.4">
      <c r="A47" s="2"/>
      <c r="B47" s="2" t="s">
        <v>76</v>
      </c>
      <c r="C47" s="2" t="s">
        <v>91</v>
      </c>
      <c r="D47" s="2">
        <v>1</v>
      </c>
      <c r="E47" s="2" t="s">
        <v>126</v>
      </c>
      <c r="F47" s="2"/>
      <c r="G47" s="2" t="s">
        <v>127</v>
      </c>
      <c r="H47" s="3"/>
      <c r="I47" s="2"/>
      <c r="J47" s="2"/>
      <c r="K47" s="2"/>
    </row>
    <row r="48" spans="1:11" x14ac:dyDescent="0.4">
      <c r="A48" s="2" t="str">
        <f t="shared" si="0"/>
        <v>R20-01</v>
      </c>
      <c r="B48" s="2" t="s">
        <v>76</v>
      </c>
      <c r="C48" s="2" t="s">
        <v>91</v>
      </c>
      <c r="D48" s="2">
        <v>3</v>
      </c>
      <c r="E48" s="2"/>
      <c r="F48" s="2"/>
      <c r="G48" s="2"/>
      <c r="H48" s="3" t="s">
        <v>109</v>
      </c>
      <c r="I48" s="2" t="s">
        <v>69</v>
      </c>
      <c r="J48" s="2"/>
      <c r="K48" s="2"/>
    </row>
    <row r="49" spans="1:11" x14ac:dyDescent="0.4">
      <c r="A49" s="2"/>
      <c r="B49" s="2" t="s">
        <v>76</v>
      </c>
      <c r="C49" s="2" t="s">
        <v>92</v>
      </c>
      <c r="D49" s="2">
        <v>1</v>
      </c>
      <c r="E49" s="2" t="s">
        <v>128</v>
      </c>
      <c r="F49" s="2"/>
      <c r="G49" s="2" t="s">
        <v>129</v>
      </c>
      <c r="H49" s="3"/>
      <c r="I49" s="2"/>
      <c r="J49" s="2"/>
      <c r="K49" s="2"/>
    </row>
    <row r="50" spans="1:11" x14ac:dyDescent="0.4">
      <c r="A50" s="2" t="str">
        <f t="shared" si="0"/>
        <v>R30-01</v>
      </c>
      <c r="B50" s="2" t="s">
        <v>76</v>
      </c>
      <c r="C50" s="2" t="s">
        <v>92</v>
      </c>
      <c r="D50" s="2">
        <v>3</v>
      </c>
      <c r="E50" s="2"/>
      <c r="F50" s="2"/>
      <c r="G50" s="2"/>
      <c r="H50" s="3" t="s">
        <v>109</v>
      </c>
      <c r="I50" s="2" t="s">
        <v>70</v>
      </c>
      <c r="J50" s="2"/>
      <c r="K50" s="2"/>
    </row>
    <row r="51" spans="1:11" x14ac:dyDescent="0.4">
      <c r="A51" s="2"/>
      <c r="B51" s="2" t="s">
        <v>78</v>
      </c>
      <c r="C51" s="2" t="s">
        <v>93</v>
      </c>
      <c r="D51" s="2">
        <v>1</v>
      </c>
      <c r="E51" s="2" t="s">
        <v>130</v>
      </c>
      <c r="F51" s="2"/>
      <c r="G51" s="2" t="s">
        <v>131</v>
      </c>
      <c r="H51" s="3"/>
      <c r="I51" s="2"/>
      <c r="J51" s="2"/>
      <c r="K51" s="2"/>
    </row>
    <row r="52" spans="1:11" x14ac:dyDescent="0.4">
      <c r="A52" s="2" t="str">
        <f t="shared" si="0"/>
        <v>O10-01</v>
      </c>
      <c r="B52" s="2" t="s">
        <v>78</v>
      </c>
      <c r="C52" s="2" t="s">
        <v>93</v>
      </c>
      <c r="D52" s="2">
        <v>3</v>
      </c>
      <c r="E52" s="2"/>
      <c r="F52" s="2"/>
      <c r="G52" s="2"/>
      <c r="H52" s="3" t="s">
        <v>109</v>
      </c>
      <c r="I52" s="2" t="s">
        <v>71</v>
      </c>
      <c r="J52" s="2"/>
      <c r="K52" s="2"/>
    </row>
    <row r="53" spans="1:11" x14ac:dyDescent="0.4">
      <c r="A53" s="2"/>
      <c r="B53" s="2" t="s">
        <v>78</v>
      </c>
      <c r="C53" s="2" t="s">
        <v>94</v>
      </c>
      <c r="D53" s="2">
        <v>1</v>
      </c>
      <c r="E53" s="2" t="s">
        <v>132</v>
      </c>
      <c r="F53" s="2"/>
      <c r="G53" s="2" t="s">
        <v>133</v>
      </c>
      <c r="H53" s="3"/>
      <c r="I53" s="2"/>
      <c r="J53" s="2"/>
      <c r="K53" s="2"/>
    </row>
    <row r="54" spans="1:11" x14ac:dyDescent="0.4">
      <c r="A54" s="2" t="str">
        <f t="shared" si="0"/>
        <v>O20-01</v>
      </c>
      <c r="B54" s="2" t="s">
        <v>78</v>
      </c>
      <c r="C54" s="2" t="s">
        <v>94</v>
      </c>
      <c r="D54" s="2">
        <v>3</v>
      </c>
      <c r="E54" s="2"/>
      <c r="F54" s="2"/>
      <c r="G54" s="2"/>
      <c r="H54" s="3" t="s">
        <v>109</v>
      </c>
      <c r="I54" s="2" t="s">
        <v>72</v>
      </c>
      <c r="J54" s="2"/>
      <c r="K54" s="2"/>
    </row>
    <row r="55" spans="1:11" x14ac:dyDescent="0.4">
      <c r="A55" s="2"/>
      <c r="B55" s="2" t="s">
        <v>78</v>
      </c>
      <c r="C55" s="2" t="s">
        <v>95</v>
      </c>
      <c r="D55" s="2">
        <v>1</v>
      </c>
      <c r="E55" s="2" t="s">
        <v>134</v>
      </c>
      <c r="F55" s="2"/>
      <c r="G55" s="2" t="s">
        <v>135</v>
      </c>
      <c r="H55" s="3"/>
      <c r="I55" s="2"/>
      <c r="J55" s="2"/>
      <c r="K55" s="2"/>
    </row>
    <row r="56" spans="1:11" x14ac:dyDescent="0.4">
      <c r="A56" s="2" t="str">
        <f t="shared" si="0"/>
        <v>O30-01</v>
      </c>
      <c r="B56" s="2" t="s">
        <v>78</v>
      </c>
      <c r="C56" s="2" t="s">
        <v>95</v>
      </c>
      <c r="D56" s="2">
        <v>3</v>
      </c>
      <c r="E56" s="2"/>
      <c r="F56" s="2"/>
      <c r="G56" s="2"/>
      <c r="H56" s="3" t="s">
        <v>109</v>
      </c>
      <c r="I56" s="2" t="s">
        <v>73</v>
      </c>
      <c r="J56" s="2"/>
      <c r="K56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テーブル体系表</vt:lpstr>
    </vt:vector>
  </TitlesOfParts>
  <Company>TONETS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辻谷 宣宏</dc:creator>
  <cp:lastModifiedBy>辻谷 宣宏</cp:lastModifiedBy>
  <dcterms:created xsi:type="dcterms:W3CDTF">2026-09-18T00:14:14Z</dcterms:created>
  <dcterms:modified xsi:type="dcterms:W3CDTF">2026-09-18T04:04:11Z</dcterms:modified>
</cp:coreProperties>
</file>