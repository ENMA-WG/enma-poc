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ENMA-WG\enma-poc\docs\"/>
    </mc:Choice>
  </mc:AlternateContent>
  <xr:revisionPtr revIDLastSave="0" documentId="13_ncr:1_{9E222175-D765-4149-9DD8-B1BC8D873550}" xr6:coauthVersionLast="47" xr6:coauthVersionMax="47" xr10:uidLastSave="{00000000-0000-0000-0000-000000000000}"/>
  <bookViews>
    <workbookView xWindow="-120" yWindow="-120" windowWidth="29040" windowHeight="15720" xr2:uid="{BD5D77E6-136E-4E25-BB0F-CCF0E7E975F4}"/>
  </bookViews>
  <sheets>
    <sheet name="テーブル体系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55" i="1" l="1"/>
  <c r="N55" i="1"/>
  <c r="A55" i="1"/>
  <c r="M55" i="1" s="1"/>
  <c r="M57" i="1"/>
  <c r="N57" i="1"/>
  <c r="O57" i="1"/>
  <c r="N58" i="1"/>
  <c r="O58" i="1"/>
  <c r="N60" i="1"/>
  <c r="O60" i="1"/>
  <c r="A58" i="1"/>
  <c r="M58" i="1" s="1"/>
  <c r="A57" i="1"/>
  <c r="N15" i="1"/>
  <c r="A15" i="1"/>
  <c r="M15" i="1" s="1"/>
  <c r="N14" i="1"/>
  <c r="A14" i="1"/>
  <c r="M14" i="1" s="1"/>
  <c r="N11" i="1"/>
  <c r="A11" i="1"/>
  <c r="M11" i="1" s="1"/>
  <c r="N10" i="1"/>
  <c r="A10" i="1"/>
  <c r="M10" i="1" s="1"/>
  <c r="A18" i="1"/>
  <c r="M18" i="1" s="1"/>
  <c r="N18" i="1"/>
  <c r="N6" i="1"/>
  <c r="N8" i="1"/>
  <c r="N9" i="1"/>
  <c r="N13" i="1"/>
  <c r="N17" i="1"/>
  <c r="N20" i="1"/>
  <c r="N22" i="1"/>
  <c r="O22" i="1"/>
  <c r="N23" i="1"/>
  <c r="O23" i="1"/>
  <c r="N26" i="1"/>
  <c r="O26" i="1"/>
  <c r="N27" i="1"/>
  <c r="O27" i="1"/>
  <c r="N28" i="1"/>
  <c r="O28" i="1"/>
  <c r="N33" i="1"/>
  <c r="O33" i="1"/>
  <c r="N35" i="1"/>
  <c r="O35" i="1"/>
  <c r="N43" i="1"/>
  <c r="O43" i="1"/>
  <c r="N49" i="1"/>
  <c r="O49" i="1"/>
  <c r="N51" i="1"/>
  <c r="O51" i="1"/>
  <c r="N53" i="1"/>
  <c r="O53" i="1"/>
  <c r="N62" i="1"/>
  <c r="O62" i="1"/>
  <c r="N64" i="1"/>
  <c r="O64" i="1"/>
  <c r="N66" i="1"/>
  <c r="O66" i="1"/>
  <c r="N4" i="1"/>
  <c r="A17" i="1"/>
  <c r="M17" i="1" s="1"/>
  <c r="A4" i="1"/>
  <c r="M4" i="1" s="1"/>
  <c r="A6" i="1"/>
  <c r="M6" i="1" s="1"/>
  <c r="A8" i="1"/>
  <c r="M8" i="1" s="1"/>
  <c r="A9" i="1"/>
  <c r="M9" i="1" s="1"/>
  <c r="A60" i="1"/>
  <c r="M60" i="1" s="1"/>
  <c r="A13" i="1"/>
  <c r="M13" i="1" s="1"/>
  <c r="A20" i="1"/>
  <c r="M20" i="1" s="1"/>
  <c r="A22" i="1"/>
  <c r="M22" i="1" s="1"/>
  <c r="A23" i="1"/>
  <c r="M23" i="1" s="1"/>
  <c r="A26" i="1"/>
  <c r="M26" i="1" s="1"/>
  <c r="A27" i="1"/>
  <c r="M27" i="1" s="1"/>
  <c r="A28" i="1"/>
  <c r="M28" i="1" s="1"/>
  <c r="A33" i="1"/>
  <c r="M33" i="1" s="1"/>
  <c r="A35" i="1"/>
  <c r="M35" i="1" s="1"/>
  <c r="A43" i="1"/>
  <c r="M43" i="1" s="1"/>
  <c r="A49" i="1"/>
  <c r="M49" i="1" s="1"/>
  <c r="A51" i="1"/>
  <c r="M51" i="1" s="1"/>
  <c r="A53" i="1"/>
  <c r="M53" i="1" s="1"/>
  <c r="A62" i="1"/>
  <c r="M62" i="1" s="1"/>
  <c r="A64" i="1"/>
  <c r="M64" i="1" s="1"/>
  <c r="A66" i="1"/>
  <c r="M66" i="1" s="1"/>
</calcChain>
</file>

<file path=xl/sharedStrings.xml><?xml version="1.0" encoding="utf-8"?>
<sst xmlns="http://schemas.openxmlformats.org/spreadsheetml/2006/main" count="297" uniqueCount="181">
  <si>
    <t>No</t>
  </si>
  <si>
    <t>系統名(日)</t>
  </si>
  <si>
    <t>テーブルCODE</t>
  </si>
  <si>
    <t>テーブル名</t>
  </si>
  <si>
    <t>日本語名</t>
  </si>
  <si>
    <t>用途</t>
  </si>
  <si>
    <t>基本分類</t>
  </si>
  <si>
    <t>fluids</t>
  </si>
  <si>
    <t>流体マスタ</t>
  </si>
  <si>
    <t>冷水・温水等</t>
  </si>
  <si>
    <t xml:space="preserve">    </t>
  </si>
  <si>
    <t>work_locations</t>
  </si>
  <si>
    <t>施工場所マスタ</t>
  </si>
  <si>
    <t>天井内・露出等</t>
  </si>
  <si>
    <t>資機材</t>
  </si>
  <si>
    <t>pipe_materials</t>
  </si>
  <si>
    <t>管材マスタ</t>
  </si>
  <si>
    <t>SGP等</t>
  </si>
  <si>
    <t>pipe_standards</t>
  </si>
  <si>
    <t>管規格マスタ</t>
  </si>
  <si>
    <t>JIS等</t>
  </si>
  <si>
    <t>pipe_sizes</t>
  </si>
  <si>
    <t>管サイズマスタ</t>
  </si>
  <si>
    <t>呼び径・外径等</t>
  </si>
  <si>
    <t>insulation_types</t>
  </si>
  <si>
    <t>保温種別マスタ</t>
  </si>
  <si>
    <t>保温仕様分類</t>
  </si>
  <si>
    <t>painting_types</t>
  </si>
  <si>
    <t>塗装種別マスタ</t>
  </si>
  <si>
    <t>塗装仕様分類</t>
  </si>
  <si>
    <t>作業</t>
  </si>
  <si>
    <t>work_types</t>
  </si>
  <si>
    <t>工種マスタ</t>
  </si>
  <si>
    <t>配管・保温・塗装等</t>
  </si>
  <si>
    <t>配管資材</t>
  </si>
  <si>
    <t>Material / Product</t>
    <phoneticPr fontId="1"/>
  </si>
  <si>
    <t xml:space="preserve">Duct </t>
    <phoneticPr fontId="1"/>
  </si>
  <si>
    <t>ダクト材料</t>
  </si>
  <si>
    <t>Insulation</t>
    <phoneticPr fontId="1"/>
  </si>
  <si>
    <t>保温</t>
    <phoneticPr fontId="1"/>
  </si>
  <si>
    <t>塗装</t>
    <phoneticPr fontId="1"/>
  </si>
  <si>
    <t>機器類</t>
    <phoneticPr fontId="1"/>
  </si>
  <si>
    <t>区分</t>
    <phoneticPr fontId="1"/>
  </si>
  <si>
    <t>系統CODE</t>
    <rPh sb="0" eb="2">
      <t>ケイトウ</t>
    </rPh>
    <phoneticPr fontId="1"/>
  </si>
  <si>
    <t>Work / Labor</t>
    <phoneticPr fontId="1"/>
  </si>
  <si>
    <t>M10</t>
    <phoneticPr fontId="1"/>
  </si>
  <si>
    <t xml:space="preserve">Pipe </t>
    <phoneticPr fontId="1"/>
  </si>
  <si>
    <t>系統名_LVL1</t>
    <phoneticPr fontId="1"/>
  </si>
  <si>
    <t>系統名_LVL2</t>
    <phoneticPr fontId="1"/>
  </si>
  <si>
    <t>M20</t>
    <phoneticPr fontId="1"/>
  </si>
  <si>
    <t>M21</t>
    <phoneticPr fontId="1"/>
  </si>
  <si>
    <t>M22</t>
    <phoneticPr fontId="1"/>
  </si>
  <si>
    <t>M40</t>
    <phoneticPr fontId="1"/>
  </si>
  <si>
    <t>M60</t>
    <phoneticPr fontId="1"/>
  </si>
  <si>
    <t>01</t>
    <phoneticPr fontId="1"/>
  </si>
  <si>
    <t>02</t>
    <phoneticPr fontId="1"/>
  </si>
  <si>
    <t>03</t>
    <phoneticPr fontId="1"/>
  </si>
  <si>
    <t>LVL</t>
    <phoneticPr fontId="1"/>
  </si>
  <si>
    <t>Equipment</t>
    <phoneticPr fontId="1"/>
  </si>
  <si>
    <t>projects</t>
  </si>
  <si>
    <t>calculation_runs</t>
  </si>
  <si>
    <t>ifc_elements</t>
  </si>
  <si>
    <t>element_properties</t>
  </si>
  <si>
    <t>human_reviews</t>
  </si>
  <si>
    <t>standard_documents</t>
  </si>
  <si>
    <t>insulation_rules</t>
  </si>
  <si>
    <t>painting_rules</t>
  </si>
  <si>
    <t>labor_productivity_rules</t>
  </si>
  <si>
    <t>element_quantity_results</t>
  </si>
  <si>
    <t>quantity_summaries</t>
  </si>
  <si>
    <t>calculation_evidence</t>
  </si>
  <si>
    <t>Project / Transaction</t>
  </si>
  <si>
    <t>Specification</t>
  </si>
  <si>
    <t>Rule</t>
  </si>
  <si>
    <t>Master</t>
  </si>
  <si>
    <t>Output / Result</t>
  </si>
  <si>
    <t>Equipment Material/Product</t>
  </si>
  <si>
    <t>M23</t>
    <phoneticPr fontId="1"/>
  </si>
  <si>
    <t>Construction / Treatment</t>
  </si>
  <si>
    <t>M30</t>
    <phoneticPr fontId="1"/>
  </si>
  <si>
    <t>M31</t>
    <phoneticPr fontId="1"/>
  </si>
  <si>
    <t>M32</t>
    <phoneticPr fontId="1"/>
  </si>
  <si>
    <t>Painting</t>
  </si>
  <si>
    <t>M33</t>
    <phoneticPr fontId="1"/>
  </si>
  <si>
    <t>Support</t>
  </si>
  <si>
    <t>M34</t>
    <phoneticPr fontId="1"/>
  </si>
  <si>
    <t>Vibration Isolation</t>
  </si>
  <si>
    <t>R10</t>
    <phoneticPr fontId="1"/>
  </si>
  <si>
    <t>R20</t>
    <phoneticPr fontId="1"/>
  </si>
  <si>
    <t>R30</t>
    <phoneticPr fontId="1"/>
  </si>
  <si>
    <t>O10</t>
    <phoneticPr fontId="1"/>
  </si>
  <si>
    <t>O20</t>
    <phoneticPr fontId="1"/>
  </si>
  <si>
    <t>O30</t>
    <phoneticPr fontId="1"/>
  </si>
  <si>
    <t>M41</t>
  </si>
  <si>
    <t>HVAC Equipment</t>
  </si>
  <si>
    <t>M42</t>
  </si>
  <si>
    <t>Plumbing Equipment</t>
  </si>
  <si>
    <t>M43</t>
  </si>
  <si>
    <t>Air Terminal</t>
  </si>
  <si>
    <t>M50</t>
    <phoneticPr fontId="1"/>
  </si>
  <si>
    <t>IFC</t>
  </si>
  <si>
    <t>bSDD</t>
  </si>
  <si>
    <t>Classification</t>
  </si>
  <si>
    <t>M61</t>
    <phoneticPr fontId="1"/>
  </si>
  <si>
    <t>M62</t>
    <phoneticPr fontId="1"/>
  </si>
  <si>
    <t>M63</t>
    <phoneticPr fontId="1"/>
  </si>
  <si>
    <t>01</t>
    <phoneticPr fontId="1"/>
  </si>
  <si>
    <t>P10</t>
    <phoneticPr fontId="1"/>
  </si>
  <si>
    <t>P20</t>
    <phoneticPr fontId="1"/>
  </si>
  <si>
    <t>P30</t>
    <phoneticPr fontId="1"/>
  </si>
  <si>
    <t>02</t>
    <phoneticPr fontId="1"/>
  </si>
  <si>
    <t>S10</t>
    <phoneticPr fontId="1"/>
  </si>
  <si>
    <t>S20</t>
    <phoneticPr fontId="1"/>
  </si>
  <si>
    <t>支持</t>
  </si>
  <si>
    <t>防振</t>
  </si>
  <si>
    <t>空調機器</t>
  </si>
  <si>
    <t>衛生機器</t>
  </si>
  <si>
    <t>吹出口・吸込口等</t>
  </si>
  <si>
    <t>機器を構成する資材・製品情報</t>
  </si>
  <si>
    <t>機器そのものの分類・仕様</t>
  </si>
  <si>
    <t>Insulation Rules</t>
  </si>
  <si>
    <t>保温判定ルール</t>
  </si>
  <si>
    <t>Painting Rules</t>
  </si>
  <si>
    <t>塗装判定ルール</t>
  </si>
  <si>
    <t>Labor Rules</t>
  </si>
  <si>
    <t>歩掛・労務ルール</t>
  </si>
  <si>
    <t>Element Results</t>
  </si>
  <si>
    <t>要素別積算結果</t>
  </si>
  <si>
    <t>Summary Results</t>
  </si>
  <si>
    <t>集計結果</t>
  </si>
  <si>
    <t>Evidence / Provenance</t>
  </si>
  <si>
    <t>計算根拠</t>
  </si>
  <si>
    <t>Standard Documents</t>
  </si>
  <si>
    <t>Specification Sets</t>
  </si>
  <si>
    <t>S30</t>
    <phoneticPr fontId="1"/>
  </si>
  <si>
    <t>specification_sets</t>
  </si>
  <si>
    <t xml:space="preserve"> </t>
    <phoneticPr fontId="1"/>
  </si>
  <si>
    <t>Specification</t>
    <phoneticPr fontId="1"/>
  </si>
  <si>
    <t>02</t>
    <phoneticPr fontId="1"/>
  </si>
  <si>
    <t>specification_set_items</t>
  </si>
  <si>
    <t>project_specifications</t>
  </si>
  <si>
    <t>原典</t>
  </si>
  <si>
    <t>仕様セット</t>
  </si>
  <si>
    <t>案件適用仕様</t>
  </si>
  <si>
    <t>仕様セット構成</t>
  </si>
  <si>
    <t>案件積算実行履歴</t>
  </si>
  <si>
    <t>積算実行履歴</t>
  </si>
  <si>
    <t>IFC要素</t>
  </si>
  <si>
    <t>要素プロパティ</t>
  </si>
  <si>
    <t>技術者確認履歴</t>
  </si>
  <si>
    <t>標準仕様書</t>
  </si>
  <si>
    <t>Project Specifications</t>
  </si>
  <si>
    <t>Common / Classification</t>
    <phoneticPr fontId="1"/>
  </si>
  <si>
    <t>External Semantics</t>
    <phoneticPr fontId="1"/>
  </si>
  <si>
    <t>04</t>
    <phoneticPr fontId="1"/>
  </si>
  <si>
    <t>ifc_ports</t>
    <phoneticPr fontId="1"/>
  </si>
  <si>
    <t>IFCポート</t>
    <phoneticPr fontId="1"/>
  </si>
  <si>
    <t>IFCポート接続</t>
    <rPh sb="6" eb="8">
      <t>セツゾク</t>
    </rPh>
    <phoneticPr fontId="1"/>
  </si>
  <si>
    <t>ifc_port_connections</t>
  </si>
  <si>
    <t>standard_provisions</t>
  </si>
  <si>
    <t>基準規定</t>
  </si>
  <si>
    <t>structured_specification_rules</t>
  </si>
  <si>
    <t>構造化仕様規則</t>
  </si>
  <si>
    <t>Inference / Evaluation</t>
  </si>
  <si>
    <t>I10</t>
    <phoneticPr fontId="1"/>
  </si>
  <si>
    <t>01</t>
    <phoneticPr fontId="1"/>
  </si>
  <si>
    <t>I20</t>
    <phoneticPr fontId="1"/>
  </si>
  <si>
    <t>02</t>
    <phoneticPr fontId="1"/>
  </si>
  <si>
    <t>inference_results</t>
  </si>
  <si>
    <t>推論結果</t>
  </si>
  <si>
    <t>ルール評価履歴</t>
  </si>
  <si>
    <t>Engineering Meaning Automation</t>
    <phoneticPr fontId="1"/>
  </si>
  <si>
    <t>Human Decision</t>
    <phoneticPr fontId="1"/>
  </si>
  <si>
    <t>技術意味推論・評価</t>
  </si>
  <si>
    <t>技術者判断</t>
    <phoneticPr fontId="1"/>
  </si>
  <si>
    <t>rule_evaluations</t>
    <phoneticPr fontId="1"/>
  </si>
  <si>
    <t>ダクト板厚選定ルール</t>
  </si>
  <si>
    <t>R40</t>
    <phoneticPr fontId="1"/>
  </si>
  <si>
    <t>duct_thickness_rules</t>
    <phoneticPr fontId="1"/>
  </si>
  <si>
    <t>Duct Thickness Rules</t>
  </si>
  <si>
    <t>ダクト板厚選定ルール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</si>
</sst>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1" xfId="0" applyBorder="1">
      <alignment vertical="center"/>
    </xf>
    <xf numFmtId="49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6E387-F90E-4FC2-983E-840A41342037}">
  <dimension ref="A2:O66"/>
  <sheetViews>
    <sheetView tabSelected="1" topLeftCell="G40" zoomScale="130" zoomScaleNormal="130" workbookViewId="0">
      <selection activeCell="Q55" sqref="Q55"/>
    </sheetView>
  </sheetViews>
  <sheetFormatPr defaultRowHeight="18.75" x14ac:dyDescent="0.4"/>
  <cols>
    <col min="1" max="1" width="12.75" customWidth="1"/>
    <col min="2" max="2" width="20.5" bestFit="1" customWidth="1"/>
    <col min="3" max="4" width="10.125" customWidth="1"/>
    <col min="5" max="5" width="18.625" customWidth="1"/>
    <col min="6" max="6" width="16.75" customWidth="1"/>
    <col min="7" max="7" width="10.875" bestFit="1" customWidth="1"/>
    <col min="8" max="8" width="14.75" style="1" customWidth="1"/>
    <col min="9" max="9" width="21.125" customWidth="1"/>
    <col min="10" max="10" width="19.25" bestFit="1" customWidth="1"/>
    <col min="11" max="11" width="27.375" customWidth="1"/>
    <col min="14" max="14" width="24.75" bestFit="1" customWidth="1"/>
  </cols>
  <sheetData>
    <row r="2" spans="1:14" x14ac:dyDescent="0.4">
      <c r="A2" s="2" t="s">
        <v>0</v>
      </c>
      <c r="B2" s="2" t="s">
        <v>42</v>
      </c>
      <c r="C2" s="2" t="s">
        <v>43</v>
      </c>
      <c r="D2" s="2" t="s">
        <v>57</v>
      </c>
      <c r="E2" s="2" t="s">
        <v>47</v>
      </c>
      <c r="F2" s="2" t="s">
        <v>48</v>
      </c>
      <c r="G2" s="2" t="s">
        <v>1</v>
      </c>
      <c r="H2" s="3" t="s">
        <v>2</v>
      </c>
      <c r="I2" s="2" t="s">
        <v>3</v>
      </c>
      <c r="J2" s="2" t="s">
        <v>4</v>
      </c>
      <c r="K2" s="2" t="s">
        <v>5</v>
      </c>
    </row>
    <row r="3" spans="1:14" x14ac:dyDescent="0.4">
      <c r="A3" s="2"/>
      <c r="B3" s="2" t="s">
        <v>71</v>
      </c>
      <c r="C3" s="2" t="s">
        <v>107</v>
      </c>
      <c r="D3" s="2">
        <v>1</v>
      </c>
      <c r="E3" s="2"/>
      <c r="F3" s="2"/>
      <c r="G3" s="2"/>
      <c r="H3" s="3"/>
      <c r="I3" s="2"/>
      <c r="J3" s="2"/>
      <c r="K3" s="2"/>
      <c r="M3" t="s">
        <v>136</v>
      </c>
    </row>
    <row r="4" spans="1:14" x14ac:dyDescent="0.4">
      <c r="A4" s="2" t="str">
        <f t="shared" ref="A4:A66" si="0">+C4&amp; "-" &amp;H4</f>
        <v>P10-01</v>
      </c>
      <c r="B4" s="2" t="s">
        <v>71</v>
      </c>
      <c r="C4" s="2" t="s">
        <v>107</v>
      </c>
      <c r="D4" s="2">
        <v>3</v>
      </c>
      <c r="E4" s="2"/>
      <c r="F4" s="2"/>
      <c r="G4" s="2"/>
      <c r="H4" s="3" t="s">
        <v>106</v>
      </c>
      <c r="I4" s="2" t="s">
        <v>59</v>
      </c>
      <c r="J4" s="2" t="s">
        <v>145</v>
      </c>
      <c r="K4" s="2"/>
      <c r="M4" t="str">
        <f>+A4</f>
        <v>P10-01</v>
      </c>
      <c r="N4" t="str">
        <f>+I4</f>
        <v>projects</v>
      </c>
    </row>
    <row r="5" spans="1:14" x14ac:dyDescent="0.4">
      <c r="A5" s="2"/>
      <c r="B5" s="2" t="s">
        <v>71</v>
      </c>
      <c r="C5" s="2" t="s">
        <v>108</v>
      </c>
      <c r="D5" s="2">
        <v>1</v>
      </c>
      <c r="E5" s="2"/>
      <c r="F5" s="2"/>
      <c r="G5" s="2"/>
      <c r="H5" s="3"/>
      <c r="I5" s="2"/>
      <c r="J5" s="2"/>
      <c r="K5" s="2"/>
    </row>
    <row r="6" spans="1:14" x14ac:dyDescent="0.4">
      <c r="A6" s="2" t="str">
        <f t="shared" si="0"/>
        <v>P20-01</v>
      </c>
      <c r="B6" s="2" t="s">
        <v>71</v>
      </c>
      <c r="C6" s="2" t="s">
        <v>108</v>
      </c>
      <c r="D6" s="2">
        <v>3</v>
      </c>
      <c r="E6" s="2"/>
      <c r="F6" s="2"/>
      <c r="G6" s="2"/>
      <c r="H6" s="3" t="s">
        <v>106</v>
      </c>
      <c r="I6" s="2" t="s">
        <v>60</v>
      </c>
      <c r="J6" s="2" t="s">
        <v>146</v>
      </c>
      <c r="K6" s="2"/>
      <c r="M6" t="str">
        <f t="shared" ref="M6:M66" si="1">+A6</f>
        <v>P20-01</v>
      </c>
      <c r="N6" t="str">
        <f t="shared" ref="N6:N66" si="2">+I6</f>
        <v>calculation_runs</v>
      </c>
    </row>
    <row r="7" spans="1:14" x14ac:dyDescent="0.4">
      <c r="A7" s="2"/>
      <c r="B7" s="2" t="s">
        <v>71</v>
      </c>
      <c r="C7" s="2" t="s">
        <v>109</v>
      </c>
      <c r="D7" s="2">
        <v>1</v>
      </c>
      <c r="E7" s="2"/>
      <c r="F7" s="2"/>
      <c r="G7" s="2"/>
      <c r="H7" s="3"/>
      <c r="I7" s="2"/>
      <c r="J7" s="2"/>
      <c r="K7" s="2"/>
    </row>
    <row r="8" spans="1:14" x14ac:dyDescent="0.4">
      <c r="A8" s="2" t="str">
        <f t="shared" si="0"/>
        <v>P30-01</v>
      </c>
      <c r="B8" s="2" t="s">
        <v>71</v>
      </c>
      <c r="C8" s="2" t="s">
        <v>109</v>
      </c>
      <c r="D8" s="2">
        <v>3</v>
      </c>
      <c r="E8" s="2"/>
      <c r="F8" s="2"/>
      <c r="G8" s="2"/>
      <c r="H8" s="3" t="s">
        <v>106</v>
      </c>
      <c r="I8" s="2" t="s">
        <v>61</v>
      </c>
      <c r="J8" s="2" t="s">
        <v>147</v>
      </c>
      <c r="K8" s="2"/>
      <c r="M8" t="str">
        <f t="shared" si="1"/>
        <v>P30-01</v>
      </c>
      <c r="N8" t="str">
        <f t="shared" si="2"/>
        <v>ifc_elements</v>
      </c>
    </row>
    <row r="9" spans="1:14" x14ac:dyDescent="0.4">
      <c r="A9" s="2" t="str">
        <f t="shared" si="0"/>
        <v>P30-02</v>
      </c>
      <c r="B9" s="2" t="s">
        <v>71</v>
      </c>
      <c r="C9" s="2" t="s">
        <v>109</v>
      </c>
      <c r="D9" s="2">
        <v>3</v>
      </c>
      <c r="E9" s="2"/>
      <c r="F9" s="2"/>
      <c r="G9" s="2"/>
      <c r="H9" s="3" t="s">
        <v>110</v>
      </c>
      <c r="I9" s="2" t="s">
        <v>62</v>
      </c>
      <c r="J9" s="2" t="s">
        <v>148</v>
      </c>
      <c r="K9" s="2"/>
      <c r="M9" t="str">
        <f t="shared" si="1"/>
        <v>P30-02</v>
      </c>
      <c r="N9" t="str">
        <f t="shared" si="2"/>
        <v>element_properties</v>
      </c>
    </row>
    <row r="10" spans="1:14" x14ac:dyDescent="0.4">
      <c r="A10" s="2" t="str">
        <f t="shared" ref="A10" si="3">+C10&amp; "-" &amp;H10</f>
        <v>P30-03</v>
      </c>
      <c r="B10" s="2" t="s">
        <v>71</v>
      </c>
      <c r="C10" s="2" t="s">
        <v>109</v>
      </c>
      <c r="D10" s="2">
        <v>3</v>
      </c>
      <c r="E10" s="2"/>
      <c r="F10" s="2"/>
      <c r="G10" s="2"/>
      <c r="H10" s="3" t="s">
        <v>56</v>
      </c>
      <c r="I10" s="2" t="s">
        <v>155</v>
      </c>
      <c r="J10" s="2" t="s">
        <v>156</v>
      </c>
      <c r="K10" s="2"/>
      <c r="M10" t="str">
        <f t="shared" ref="M10" si="4">+A10</f>
        <v>P30-03</v>
      </c>
      <c r="N10" t="str">
        <f t="shared" ref="N10" si="5">+I10</f>
        <v>ifc_ports</v>
      </c>
    </row>
    <row r="11" spans="1:14" x14ac:dyDescent="0.4">
      <c r="A11" s="2" t="str">
        <f t="shared" ref="A11" si="6">+C11&amp; "-" &amp;H11</f>
        <v>P30-04</v>
      </c>
      <c r="B11" s="2" t="s">
        <v>71</v>
      </c>
      <c r="C11" s="2" t="s">
        <v>109</v>
      </c>
      <c r="D11" s="2">
        <v>3</v>
      </c>
      <c r="E11" s="2"/>
      <c r="F11" s="2"/>
      <c r="G11" s="2"/>
      <c r="H11" s="3" t="s">
        <v>154</v>
      </c>
      <c r="I11" s="2" t="s">
        <v>158</v>
      </c>
      <c r="J11" s="2" t="s">
        <v>157</v>
      </c>
      <c r="K11" s="2"/>
      <c r="M11" t="str">
        <f t="shared" ref="M11" si="7">+A11</f>
        <v>P30-04</v>
      </c>
      <c r="N11" t="str">
        <f t="shared" ref="N11" si="8">+I11</f>
        <v>ifc_port_connections</v>
      </c>
    </row>
    <row r="12" spans="1:14" x14ac:dyDescent="0.4">
      <c r="A12" s="2"/>
      <c r="B12" s="2" t="s">
        <v>137</v>
      </c>
      <c r="C12" s="2" t="s">
        <v>111</v>
      </c>
      <c r="D12" s="2">
        <v>1</v>
      </c>
      <c r="E12" s="2" t="s">
        <v>132</v>
      </c>
      <c r="F12" s="2"/>
      <c r="G12" s="2" t="s">
        <v>141</v>
      </c>
      <c r="H12" s="3"/>
      <c r="I12" s="2"/>
      <c r="J12" s="2"/>
      <c r="K12" s="2"/>
    </row>
    <row r="13" spans="1:14" x14ac:dyDescent="0.4">
      <c r="A13" s="2" t="str">
        <f t="shared" si="0"/>
        <v>S10-01</v>
      </c>
      <c r="B13" s="2" t="s">
        <v>72</v>
      </c>
      <c r="C13" s="2" t="s">
        <v>111</v>
      </c>
      <c r="D13" s="2">
        <v>3</v>
      </c>
      <c r="E13" s="2"/>
      <c r="F13" s="2"/>
      <c r="G13" s="2"/>
      <c r="H13" s="3" t="s">
        <v>106</v>
      </c>
      <c r="I13" s="2" t="s">
        <v>64</v>
      </c>
      <c r="J13" s="2" t="s">
        <v>150</v>
      </c>
      <c r="K13" s="2"/>
      <c r="M13" t="str">
        <f t="shared" si="1"/>
        <v>S10-01</v>
      </c>
      <c r="N13" t="str">
        <f t="shared" si="2"/>
        <v>standard_documents</v>
      </c>
    </row>
    <row r="14" spans="1:14" x14ac:dyDescent="0.4">
      <c r="A14" s="2" t="str">
        <f t="shared" ref="A14" si="9">+C14&amp; "-" &amp;H14</f>
        <v>S10-02</v>
      </c>
      <c r="B14" s="2" t="s">
        <v>72</v>
      </c>
      <c r="C14" s="2" t="s">
        <v>111</v>
      </c>
      <c r="D14" s="2">
        <v>3</v>
      </c>
      <c r="E14" s="2"/>
      <c r="F14" s="2"/>
      <c r="G14" s="2"/>
      <c r="H14" s="3" t="s">
        <v>55</v>
      </c>
      <c r="I14" s="2" t="s">
        <v>159</v>
      </c>
      <c r="J14" s="2" t="s">
        <v>160</v>
      </c>
      <c r="K14" s="2"/>
      <c r="M14" t="str">
        <f t="shared" ref="M14" si="10">+A14</f>
        <v>S10-02</v>
      </c>
      <c r="N14" t="str">
        <f t="shared" ref="N14" si="11">+I14</f>
        <v>standard_provisions</v>
      </c>
    </row>
    <row r="15" spans="1:14" x14ac:dyDescent="0.4">
      <c r="A15" s="2" t="str">
        <f t="shared" ref="A15" si="12">+C15&amp; "-" &amp;H15</f>
        <v>S10-03</v>
      </c>
      <c r="B15" s="2" t="s">
        <v>72</v>
      </c>
      <c r="C15" s="2" t="s">
        <v>111</v>
      </c>
      <c r="D15" s="2">
        <v>3</v>
      </c>
      <c r="E15" s="2"/>
      <c r="F15" s="2"/>
      <c r="G15" s="2"/>
      <c r="H15" s="3" t="s">
        <v>56</v>
      </c>
      <c r="I15" s="2" t="s">
        <v>161</v>
      </c>
      <c r="J15" s="2" t="s">
        <v>162</v>
      </c>
      <c r="K15" s="2"/>
      <c r="M15" t="str">
        <f t="shared" ref="M15" si="13">+A15</f>
        <v>S10-03</v>
      </c>
      <c r="N15" t="str">
        <f t="shared" ref="N15" si="14">+I15</f>
        <v>structured_specification_rules</v>
      </c>
    </row>
    <row r="16" spans="1:14" x14ac:dyDescent="0.4">
      <c r="A16" s="2"/>
      <c r="B16" s="2" t="s">
        <v>72</v>
      </c>
      <c r="C16" s="2" t="s">
        <v>112</v>
      </c>
      <c r="D16" s="2">
        <v>1</v>
      </c>
      <c r="E16" s="2" t="s">
        <v>133</v>
      </c>
      <c r="F16" s="2"/>
      <c r="G16" s="2" t="s">
        <v>142</v>
      </c>
      <c r="H16" s="3"/>
      <c r="I16" s="2"/>
      <c r="J16" s="2"/>
      <c r="K16" s="2"/>
    </row>
    <row r="17" spans="1:15" x14ac:dyDescent="0.4">
      <c r="A17" s="2" t="str">
        <f t="shared" ref="A17:A18" si="15">+C17&amp; "-" &amp;H17</f>
        <v>S20-01</v>
      </c>
      <c r="B17" s="2" t="s">
        <v>72</v>
      </c>
      <c r="C17" s="2" t="s">
        <v>112</v>
      </c>
      <c r="D17" s="2">
        <v>3</v>
      </c>
      <c r="E17" s="2"/>
      <c r="F17" s="2"/>
      <c r="G17" s="2"/>
      <c r="H17" s="3" t="s">
        <v>54</v>
      </c>
      <c r="I17" s="2" t="s">
        <v>135</v>
      </c>
      <c r="J17" s="2" t="s">
        <v>142</v>
      </c>
      <c r="K17" s="2"/>
      <c r="M17" t="str">
        <f t="shared" si="1"/>
        <v>S20-01</v>
      </c>
      <c r="N17" t="str">
        <f t="shared" si="2"/>
        <v>specification_sets</v>
      </c>
    </row>
    <row r="18" spans="1:15" x14ac:dyDescent="0.4">
      <c r="A18" s="2" t="str">
        <f t="shared" si="15"/>
        <v>S20-02</v>
      </c>
      <c r="B18" s="2" t="s">
        <v>72</v>
      </c>
      <c r="C18" s="2" t="s">
        <v>112</v>
      </c>
      <c r="D18" s="2">
        <v>3</v>
      </c>
      <c r="E18" s="2"/>
      <c r="F18" s="2"/>
      <c r="G18" s="2"/>
      <c r="H18" s="3" t="s">
        <v>138</v>
      </c>
      <c r="I18" s="2" t="s">
        <v>139</v>
      </c>
      <c r="J18" s="2" t="s">
        <v>144</v>
      </c>
      <c r="K18" s="2"/>
      <c r="M18" t="str">
        <f t="shared" ref="M18" si="16">+A18</f>
        <v>S20-02</v>
      </c>
      <c r="N18" t="str">
        <f t="shared" ref="N18" si="17">+I18</f>
        <v>specification_set_items</v>
      </c>
    </row>
    <row r="19" spans="1:15" x14ac:dyDescent="0.4">
      <c r="A19" s="2"/>
      <c r="B19" s="2" t="s">
        <v>72</v>
      </c>
      <c r="C19" s="2" t="s">
        <v>134</v>
      </c>
      <c r="D19" s="2">
        <v>1</v>
      </c>
      <c r="E19" t="s">
        <v>151</v>
      </c>
      <c r="F19" s="2"/>
      <c r="G19" s="2" t="s">
        <v>143</v>
      </c>
      <c r="H19" s="3"/>
      <c r="I19" s="2"/>
      <c r="J19" s="2"/>
      <c r="K19" s="2"/>
    </row>
    <row r="20" spans="1:15" x14ac:dyDescent="0.4">
      <c r="A20" s="2" t="str">
        <f t="shared" si="0"/>
        <v>S30-01</v>
      </c>
      <c r="B20" s="2" t="s">
        <v>72</v>
      </c>
      <c r="C20" s="2" t="s">
        <v>134</v>
      </c>
      <c r="D20" s="2">
        <v>3</v>
      </c>
      <c r="E20" s="2"/>
      <c r="F20" s="2"/>
      <c r="G20" s="2"/>
      <c r="H20" s="3" t="s">
        <v>106</v>
      </c>
      <c r="I20" s="2" t="s">
        <v>140</v>
      </c>
      <c r="J20" s="2" t="s">
        <v>143</v>
      </c>
      <c r="K20" s="2"/>
      <c r="M20" t="str">
        <f t="shared" si="1"/>
        <v>S30-01</v>
      </c>
      <c r="N20" t="str">
        <f t="shared" si="2"/>
        <v>project_specifications</v>
      </c>
    </row>
    <row r="21" spans="1:15" x14ac:dyDescent="0.4">
      <c r="A21" s="2"/>
      <c r="B21" s="2" t="s">
        <v>74</v>
      </c>
      <c r="C21" s="2" t="s">
        <v>45</v>
      </c>
      <c r="D21" s="2">
        <v>1</v>
      </c>
      <c r="E21" s="2" t="s">
        <v>152</v>
      </c>
      <c r="F21" s="2"/>
      <c r="G21" s="2" t="s">
        <v>6</v>
      </c>
      <c r="H21" s="3"/>
      <c r="I21" s="2"/>
      <c r="J21" s="2"/>
      <c r="K21" s="2"/>
    </row>
    <row r="22" spans="1:15" x14ac:dyDescent="0.4">
      <c r="A22" s="2" t="str">
        <f t="shared" si="0"/>
        <v>M10-01</v>
      </c>
      <c r="B22" s="2" t="s">
        <v>74</v>
      </c>
      <c r="C22" s="2" t="s">
        <v>45</v>
      </c>
      <c r="D22" s="2">
        <v>3</v>
      </c>
      <c r="E22" s="2"/>
      <c r="F22" s="2"/>
      <c r="G22" s="2"/>
      <c r="H22" s="3" t="s">
        <v>54</v>
      </c>
      <c r="I22" s="2" t="s">
        <v>7</v>
      </c>
      <c r="J22" s="2" t="s">
        <v>8</v>
      </c>
      <c r="K22" s="2" t="s">
        <v>9</v>
      </c>
      <c r="M22" t="str">
        <f t="shared" si="1"/>
        <v>M10-01</v>
      </c>
      <c r="N22" t="str">
        <f t="shared" si="2"/>
        <v>fluids</v>
      </c>
      <c r="O22" t="str">
        <f t="shared" ref="O22:O66" si="18">+J22</f>
        <v>流体マスタ</v>
      </c>
    </row>
    <row r="23" spans="1:15" x14ac:dyDescent="0.4">
      <c r="A23" s="2" t="str">
        <f t="shared" si="0"/>
        <v>M10-02</v>
      </c>
      <c r="B23" s="2" t="s">
        <v>74</v>
      </c>
      <c r="C23" s="2" t="s">
        <v>45</v>
      </c>
      <c r="D23" s="2">
        <v>3</v>
      </c>
      <c r="E23" s="2" t="s">
        <v>10</v>
      </c>
      <c r="F23" s="2"/>
      <c r="G23" s="2"/>
      <c r="H23" s="3" t="s">
        <v>55</v>
      </c>
      <c r="I23" s="2" t="s">
        <v>11</v>
      </c>
      <c r="J23" s="2" t="s">
        <v>12</v>
      </c>
      <c r="K23" s="2" t="s">
        <v>13</v>
      </c>
      <c r="M23" t="str">
        <f t="shared" si="1"/>
        <v>M10-02</v>
      </c>
      <c r="N23" t="str">
        <f t="shared" si="2"/>
        <v>work_locations</v>
      </c>
      <c r="O23" t="str">
        <f t="shared" si="18"/>
        <v>施工場所マスタ</v>
      </c>
    </row>
    <row r="24" spans="1:15" x14ac:dyDescent="0.4">
      <c r="A24" s="2"/>
      <c r="B24" s="2" t="s">
        <v>74</v>
      </c>
      <c r="C24" s="2" t="s">
        <v>49</v>
      </c>
      <c r="D24" s="2">
        <v>1</v>
      </c>
      <c r="E24" s="2" t="s">
        <v>35</v>
      </c>
      <c r="F24" s="2"/>
      <c r="G24" s="2" t="s">
        <v>14</v>
      </c>
      <c r="H24" s="3"/>
      <c r="I24" s="2"/>
      <c r="J24" s="2"/>
      <c r="K24" s="2"/>
    </row>
    <row r="25" spans="1:15" x14ac:dyDescent="0.4">
      <c r="A25" s="2"/>
      <c r="B25" s="2" t="s">
        <v>74</v>
      </c>
      <c r="C25" s="2" t="s">
        <v>50</v>
      </c>
      <c r="D25" s="2">
        <v>2</v>
      </c>
      <c r="E25" s="2"/>
      <c r="F25" s="2" t="s">
        <v>46</v>
      </c>
      <c r="G25" s="2" t="s">
        <v>34</v>
      </c>
      <c r="H25" s="3"/>
      <c r="I25" s="2"/>
      <c r="J25" s="2"/>
      <c r="K25" s="2"/>
    </row>
    <row r="26" spans="1:15" x14ac:dyDescent="0.4">
      <c r="A26" s="2" t="str">
        <f t="shared" si="0"/>
        <v>M21-01</v>
      </c>
      <c r="B26" s="2" t="s">
        <v>74</v>
      </c>
      <c r="C26" s="2" t="s">
        <v>50</v>
      </c>
      <c r="D26" s="2">
        <v>3</v>
      </c>
      <c r="E26" s="2"/>
      <c r="F26" s="2"/>
      <c r="G26" s="2"/>
      <c r="H26" s="3" t="s">
        <v>54</v>
      </c>
      <c r="I26" s="2" t="s">
        <v>15</v>
      </c>
      <c r="J26" s="2" t="s">
        <v>16</v>
      </c>
      <c r="K26" s="2" t="s">
        <v>17</v>
      </c>
      <c r="M26" t="str">
        <f t="shared" si="1"/>
        <v>M21-01</v>
      </c>
      <c r="N26" t="str">
        <f t="shared" si="2"/>
        <v>pipe_materials</v>
      </c>
      <c r="O26" t="str">
        <f t="shared" si="18"/>
        <v>管材マスタ</v>
      </c>
    </row>
    <row r="27" spans="1:15" x14ac:dyDescent="0.4">
      <c r="A27" s="2" t="str">
        <f t="shared" si="0"/>
        <v>M21-02</v>
      </c>
      <c r="B27" s="2" t="s">
        <v>74</v>
      </c>
      <c r="C27" s="2" t="s">
        <v>50</v>
      </c>
      <c r="D27" s="2">
        <v>3</v>
      </c>
      <c r="E27" s="2"/>
      <c r="F27" s="2"/>
      <c r="G27" s="2"/>
      <c r="H27" s="3" t="s">
        <v>55</v>
      </c>
      <c r="I27" s="2" t="s">
        <v>18</v>
      </c>
      <c r="J27" s="2" t="s">
        <v>19</v>
      </c>
      <c r="K27" s="2" t="s">
        <v>20</v>
      </c>
      <c r="M27" t="str">
        <f t="shared" si="1"/>
        <v>M21-02</v>
      </c>
      <c r="N27" t="str">
        <f t="shared" si="2"/>
        <v>pipe_standards</v>
      </c>
      <c r="O27" t="str">
        <f t="shared" si="18"/>
        <v>管規格マスタ</v>
      </c>
    </row>
    <row r="28" spans="1:15" x14ac:dyDescent="0.4">
      <c r="A28" s="2" t="str">
        <f t="shared" si="0"/>
        <v>M21-03</v>
      </c>
      <c r="B28" s="2" t="s">
        <v>74</v>
      </c>
      <c r="C28" s="2" t="s">
        <v>50</v>
      </c>
      <c r="D28" s="2">
        <v>3</v>
      </c>
      <c r="E28" s="2"/>
      <c r="F28" s="2"/>
      <c r="G28" s="2"/>
      <c r="H28" s="3" t="s">
        <v>56</v>
      </c>
      <c r="I28" s="2" t="s">
        <v>21</v>
      </c>
      <c r="J28" s="2" t="s">
        <v>22</v>
      </c>
      <c r="K28" s="2" t="s">
        <v>23</v>
      </c>
      <c r="M28" t="str">
        <f t="shared" si="1"/>
        <v>M21-03</v>
      </c>
      <c r="N28" t="str">
        <f t="shared" si="2"/>
        <v>pipe_sizes</v>
      </c>
      <c r="O28" t="str">
        <f t="shared" si="18"/>
        <v>管サイズマスタ</v>
      </c>
    </row>
    <row r="29" spans="1:15" x14ac:dyDescent="0.4">
      <c r="A29" s="2"/>
      <c r="B29" s="2" t="s">
        <v>74</v>
      </c>
      <c r="C29" s="2" t="s">
        <v>51</v>
      </c>
      <c r="D29" s="2">
        <v>2</v>
      </c>
      <c r="E29" s="2"/>
      <c r="F29" s="2" t="s">
        <v>36</v>
      </c>
      <c r="G29" s="2" t="s">
        <v>37</v>
      </c>
      <c r="H29" s="3"/>
      <c r="I29" s="2"/>
      <c r="J29" s="2"/>
      <c r="K29" s="2"/>
    </row>
    <row r="30" spans="1:15" x14ac:dyDescent="0.4">
      <c r="A30" s="2"/>
      <c r="B30" s="2" t="s">
        <v>74</v>
      </c>
      <c r="C30" s="2" t="s">
        <v>77</v>
      </c>
      <c r="D30" s="2">
        <v>2</v>
      </c>
      <c r="E30" s="2"/>
      <c r="F30" s="2" t="s">
        <v>76</v>
      </c>
      <c r="G30" s="2"/>
      <c r="H30" s="3"/>
      <c r="I30" s="2"/>
      <c r="J30" s="2"/>
      <c r="K30" s="2" t="s">
        <v>118</v>
      </c>
    </row>
    <row r="31" spans="1:15" x14ac:dyDescent="0.4">
      <c r="A31" s="2"/>
      <c r="B31" s="2" t="s">
        <v>74</v>
      </c>
      <c r="C31" s="2" t="s">
        <v>79</v>
      </c>
      <c r="D31" s="2">
        <v>1</v>
      </c>
      <c r="E31" s="2" t="s">
        <v>78</v>
      </c>
      <c r="F31" s="2"/>
      <c r="G31" s="2"/>
      <c r="H31" s="3"/>
      <c r="I31" s="2"/>
      <c r="J31" s="2"/>
      <c r="K31" s="2"/>
    </row>
    <row r="32" spans="1:15" x14ac:dyDescent="0.4">
      <c r="A32" s="2"/>
      <c r="B32" s="2" t="s">
        <v>74</v>
      </c>
      <c r="C32" s="2" t="s">
        <v>80</v>
      </c>
      <c r="D32" s="2">
        <v>2</v>
      </c>
      <c r="E32" s="2"/>
      <c r="F32" s="2" t="s">
        <v>38</v>
      </c>
      <c r="G32" s="2" t="s">
        <v>39</v>
      </c>
      <c r="H32" s="3"/>
      <c r="I32" s="2"/>
      <c r="J32" s="2"/>
      <c r="K32" s="2"/>
    </row>
    <row r="33" spans="1:15" x14ac:dyDescent="0.4">
      <c r="A33" s="2" t="str">
        <f t="shared" si="0"/>
        <v>M31-01</v>
      </c>
      <c r="B33" s="2" t="s">
        <v>74</v>
      </c>
      <c r="C33" s="2" t="s">
        <v>80</v>
      </c>
      <c r="D33" s="2">
        <v>3</v>
      </c>
      <c r="E33" s="2"/>
      <c r="F33" s="2"/>
      <c r="G33" s="2"/>
      <c r="H33" s="3" t="s">
        <v>54</v>
      </c>
      <c r="I33" s="2" t="s">
        <v>24</v>
      </c>
      <c r="J33" s="2" t="s">
        <v>25</v>
      </c>
      <c r="K33" s="2" t="s">
        <v>26</v>
      </c>
      <c r="M33" t="str">
        <f t="shared" si="1"/>
        <v>M31-01</v>
      </c>
      <c r="N33" t="str">
        <f t="shared" si="2"/>
        <v>insulation_types</v>
      </c>
      <c r="O33" t="str">
        <f t="shared" si="18"/>
        <v>保温種別マスタ</v>
      </c>
    </row>
    <row r="34" spans="1:15" x14ac:dyDescent="0.4">
      <c r="A34" s="2"/>
      <c r="B34" s="2" t="s">
        <v>74</v>
      </c>
      <c r="C34" s="2" t="s">
        <v>81</v>
      </c>
      <c r="D34" s="2">
        <v>2</v>
      </c>
      <c r="E34" s="2"/>
      <c r="F34" s="2" t="s">
        <v>82</v>
      </c>
      <c r="G34" s="2" t="s">
        <v>40</v>
      </c>
      <c r="H34" s="3"/>
      <c r="I34" s="2"/>
      <c r="J34" s="2"/>
      <c r="K34" s="2"/>
    </row>
    <row r="35" spans="1:15" x14ac:dyDescent="0.4">
      <c r="A35" s="2" t="str">
        <f t="shared" si="0"/>
        <v>M32-01</v>
      </c>
      <c r="B35" s="2" t="s">
        <v>74</v>
      </c>
      <c r="C35" s="2" t="s">
        <v>81</v>
      </c>
      <c r="D35" s="2">
        <v>3</v>
      </c>
      <c r="E35" s="2"/>
      <c r="F35" s="2"/>
      <c r="G35" s="2"/>
      <c r="H35" s="3" t="s">
        <v>54</v>
      </c>
      <c r="I35" s="2" t="s">
        <v>27</v>
      </c>
      <c r="J35" s="2" t="s">
        <v>28</v>
      </c>
      <c r="K35" s="2" t="s">
        <v>29</v>
      </c>
      <c r="M35" t="str">
        <f t="shared" si="1"/>
        <v>M32-01</v>
      </c>
      <c r="N35" t="str">
        <f t="shared" si="2"/>
        <v>painting_types</v>
      </c>
      <c r="O35" t="str">
        <f t="shared" si="18"/>
        <v>塗装種別マスタ</v>
      </c>
    </row>
    <row r="36" spans="1:15" x14ac:dyDescent="0.4">
      <c r="A36" s="2"/>
      <c r="B36" s="2" t="s">
        <v>74</v>
      </c>
      <c r="C36" s="2" t="s">
        <v>83</v>
      </c>
      <c r="D36" s="2">
        <v>2</v>
      </c>
      <c r="E36" s="2"/>
      <c r="F36" s="2" t="s">
        <v>84</v>
      </c>
      <c r="G36" s="2" t="s">
        <v>113</v>
      </c>
      <c r="H36" s="3"/>
      <c r="I36" s="2"/>
      <c r="J36" s="2"/>
      <c r="K36" s="2"/>
    </row>
    <row r="37" spans="1:15" x14ac:dyDescent="0.4">
      <c r="A37" s="2"/>
      <c r="B37" s="2" t="s">
        <v>74</v>
      </c>
      <c r="C37" s="2" t="s">
        <v>85</v>
      </c>
      <c r="D37" s="2">
        <v>2</v>
      </c>
      <c r="E37" s="2"/>
      <c r="F37" s="2" t="s">
        <v>86</v>
      </c>
      <c r="G37" s="2" t="s">
        <v>114</v>
      </c>
      <c r="H37" s="3"/>
      <c r="I37" s="2"/>
      <c r="J37" s="2"/>
      <c r="K37" s="2"/>
    </row>
    <row r="38" spans="1:15" x14ac:dyDescent="0.4">
      <c r="A38" s="2"/>
      <c r="B38" s="2" t="s">
        <v>74</v>
      </c>
      <c r="C38" s="2" t="s">
        <v>52</v>
      </c>
      <c r="D38" s="2">
        <v>1</v>
      </c>
      <c r="E38" s="2" t="s">
        <v>58</v>
      </c>
      <c r="F38" s="2"/>
      <c r="G38" s="2" t="s">
        <v>41</v>
      </c>
      <c r="H38" s="3"/>
      <c r="I38" s="2"/>
      <c r="J38" s="2"/>
      <c r="K38" s="2" t="s">
        <v>119</v>
      </c>
    </row>
    <row r="39" spans="1:15" x14ac:dyDescent="0.4">
      <c r="A39" s="2"/>
      <c r="B39" s="2" t="s">
        <v>74</v>
      </c>
      <c r="C39" s="2" t="s">
        <v>93</v>
      </c>
      <c r="D39" s="2">
        <v>2</v>
      </c>
      <c r="E39" s="2"/>
      <c r="F39" s="2" t="s">
        <v>94</v>
      </c>
      <c r="G39" s="2" t="s">
        <v>115</v>
      </c>
      <c r="H39" s="3"/>
      <c r="I39" s="2"/>
      <c r="J39" s="2"/>
      <c r="K39" s="2"/>
    </row>
    <row r="40" spans="1:15" x14ac:dyDescent="0.4">
      <c r="A40" s="2"/>
      <c r="B40" s="2" t="s">
        <v>74</v>
      </c>
      <c r="C40" s="2" t="s">
        <v>95</v>
      </c>
      <c r="D40" s="2">
        <v>2</v>
      </c>
      <c r="E40" s="2"/>
      <c r="F40" s="2" t="s">
        <v>96</v>
      </c>
      <c r="G40" s="2" t="s">
        <v>116</v>
      </c>
      <c r="H40" s="3"/>
      <c r="I40" s="2"/>
      <c r="J40" s="2"/>
      <c r="K40" s="2"/>
    </row>
    <row r="41" spans="1:15" x14ac:dyDescent="0.4">
      <c r="A41" s="2"/>
      <c r="B41" s="2" t="s">
        <v>74</v>
      </c>
      <c r="C41" s="2" t="s">
        <v>97</v>
      </c>
      <c r="D41" s="2">
        <v>2</v>
      </c>
      <c r="E41" s="2"/>
      <c r="F41" s="2" t="s">
        <v>98</v>
      </c>
      <c r="G41" s="2" t="s">
        <v>117</v>
      </c>
      <c r="H41" s="3"/>
      <c r="I41" s="2"/>
      <c r="J41" s="2"/>
      <c r="K41" s="2"/>
    </row>
    <row r="42" spans="1:15" x14ac:dyDescent="0.4">
      <c r="A42" s="2"/>
      <c r="B42" s="2" t="s">
        <v>74</v>
      </c>
      <c r="C42" s="2" t="s">
        <v>99</v>
      </c>
      <c r="D42" s="2">
        <v>1</v>
      </c>
      <c r="E42" s="2" t="s">
        <v>44</v>
      </c>
      <c r="F42" s="2"/>
      <c r="G42" s="2" t="s">
        <v>30</v>
      </c>
      <c r="H42" s="3"/>
      <c r="I42" s="2"/>
      <c r="J42" s="2"/>
      <c r="K42" s="2"/>
    </row>
    <row r="43" spans="1:15" x14ac:dyDescent="0.4">
      <c r="A43" s="2" t="str">
        <f t="shared" si="0"/>
        <v>M50-01</v>
      </c>
      <c r="B43" s="2" t="s">
        <v>74</v>
      </c>
      <c r="C43" s="2" t="s">
        <v>99</v>
      </c>
      <c r="D43" s="2">
        <v>3</v>
      </c>
      <c r="E43" s="2"/>
      <c r="F43" s="2"/>
      <c r="G43" s="2"/>
      <c r="H43" s="3" t="s">
        <v>54</v>
      </c>
      <c r="I43" s="2" t="s">
        <v>31</v>
      </c>
      <c r="J43" s="2" t="s">
        <v>32</v>
      </c>
      <c r="K43" s="2" t="s">
        <v>33</v>
      </c>
      <c r="M43" t="str">
        <f t="shared" si="1"/>
        <v>M50-01</v>
      </c>
      <c r="N43" t="str">
        <f t="shared" si="2"/>
        <v>work_types</v>
      </c>
      <c r="O43" t="str">
        <f t="shared" si="18"/>
        <v>工種マスタ</v>
      </c>
    </row>
    <row r="44" spans="1:15" x14ac:dyDescent="0.4">
      <c r="A44" s="2"/>
      <c r="B44" s="2" t="s">
        <v>74</v>
      </c>
      <c r="C44" s="2" t="s">
        <v>53</v>
      </c>
      <c r="D44" s="2">
        <v>1</v>
      </c>
      <c r="E44" s="2" t="s">
        <v>153</v>
      </c>
      <c r="F44" s="2"/>
      <c r="G44" s="2"/>
      <c r="H44" s="3"/>
      <c r="I44" s="2"/>
      <c r="J44" s="2"/>
      <c r="K44" s="2"/>
    </row>
    <row r="45" spans="1:15" x14ac:dyDescent="0.4">
      <c r="A45" s="2"/>
      <c r="B45" s="2" t="s">
        <v>74</v>
      </c>
      <c r="C45" s="2" t="s">
        <v>103</v>
      </c>
      <c r="D45" s="2">
        <v>2</v>
      </c>
      <c r="E45" s="2"/>
      <c r="F45" s="2" t="s">
        <v>100</v>
      </c>
      <c r="G45" s="2"/>
      <c r="H45" s="3"/>
      <c r="I45" s="2"/>
      <c r="J45" s="2"/>
      <c r="K45" s="2"/>
    </row>
    <row r="46" spans="1:15" x14ac:dyDescent="0.4">
      <c r="A46" s="2"/>
      <c r="B46" s="2" t="s">
        <v>74</v>
      </c>
      <c r="C46" s="2" t="s">
        <v>104</v>
      </c>
      <c r="D46" s="2">
        <v>2</v>
      </c>
      <c r="E46" s="2"/>
      <c r="F46" s="2" t="s">
        <v>101</v>
      </c>
      <c r="G46" s="2"/>
      <c r="H46" s="3"/>
      <c r="I46" s="2"/>
      <c r="J46" s="2"/>
      <c r="K46" s="2"/>
    </row>
    <row r="47" spans="1:15" x14ac:dyDescent="0.4">
      <c r="A47" s="2"/>
      <c r="B47" s="2" t="s">
        <v>74</v>
      </c>
      <c r="C47" s="2" t="s">
        <v>105</v>
      </c>
      <c r="D47" s="2">
        <v>2</v>
      </c>
      <c r="E47" s="2"/>
      <c r="F47" s="2" t="s">
        <v>102</v>
      </c>
      <c r="G47" s="2"/>
      <c r="H47" s="3"/>
      <c r="I47" s="2"/>
      <c r="J47" s="2"/>
      <c r="K47" s="2"/>
    </row>
    <row r="48" spans="1:15" x14ac:dyDescent="0.4">
      <c r="A48" s="2"/>
      <c r="B48" s="2" t="s">
        <v>73</v>
      </c>
      <c r="C48" s="2" t="s">
        <v>87</v>
      </c>
      <c r="D48" s="2">
        <v>1</v>
      </c>
      <c r="E48" s="2" t="s">
        <v>120</v>
      </c>
      <c r="F48" s="2"/>
      <c r="G48" s="2" t="s">
        <v>121</v>
      </c>
      <c r="H48" s="3"/>
      <c r="I48" s="2"/>
      <c r="J48" s="2"/>
      <c r="K48" s="2"/>
    </row>
    <row r="49" spans="1:15" x14ac:dyDescent="0.4">
      <c r="A49" s="2" t="str">
        <f t="shared" si="0"/>
        <v>R10-01</v>
      </c>
      <c r="B49" s="2" t="s">
        <v>73</v>
      </c>
      <c r="C49" s="2" t="s">
        <v>87</v>
      </c>
      <c r="D49" s="2">
        <v>3</v>
      </c>
      <c r="E49" s="2"/>
      <c r="F49" s="2"/>
      <c r="G49" s="2"/>
      <c r="H49" s="3" t="s">
        <v>106</v>
      </c>
      <c r="I49" s="2" t="s">
        <v>65</v>
      </c>
      <c r="J49" s="2" t="s">
        <v>121</v>
      </c>
      <c r="K49" s="2"/>
      <c r="M49" t="str">
        <f t="shared" si="1"/>
        <v>R10-01</v>
      </c>
      <c r="N49" t="str">
        <f t="shared" si="2"/>
        <v>insulation_rules</v>
      </c>
      <c r="O49" t="str">
        <f t="shared" si="18"/>
        <v>保温判定ルール</v>
      </c>
    </row>
    <row r="50" spans="1:15" x14ac:dyDescent="0.4">
      <c r="A50" s="2"/>
      <c r="B50" s="2" t="s">
        <v>73</v>
      </c>
      <c r="C50" s="2" t="s">
        <v>88</v>
      </c>
      <c r="D50" s="2">
        <v>1</v>
      </c>
      <c r="E50" s="2" t="s">
        <v>122</v>
      </c>
      <c r="F50" s="2"/>
      <c r="G50" s="2" t="s">
        <v>123</v>
      </c>
      <c r="H50" s="3"/>
      <c r="I50" s="2"/>
      <c r="J50" s="2"/>
      <c r="K50" s="2"/>
    </row>
    <row r="51" spans="1:15" x14ac:dyDescent="0.4">
      <c r="A51" s="2" t="str">
        <f t="shared" si="0"/>
        <v>R20-01</v>
      </c>
      <c r="B51" s="2" t="s">
        <v>73</v>
      </c>
      <c r="C51" s="2" t="s">
        <v>88</v>
      </c>
      <c r="D51" s="2">
        <v>3</v>
      </c>
      <c r="E51" s="2"/>
      <c r="F51" s="2"/>
      <c r="G51" s="2"/>
      <c r="H51" s="3" t="s">
        <v>106</v>
      </c>
      <c r="I51" s="2" t="s">
        <v>66</v>
      </c>
      <c r="J51" s="2" t="s">
        <v>123</v>
      </c>
      <c r="K51" s="2"/>
      <c r="M51" t="str">
        <f t="shared" si="1"/>
        <v>R20-01</v>
      </c>
      <c r="N51" t="str">
        <f t="shared" si="2"/>
        <v>painting_rules</v>
      </c>
      <c r="O51" t="str">
        <f t="shared" si="18"/>
        <v>塗装判定ルール</v>
      </c>
    </row>
    <row r="52" spans="1:15" x14ac:dyDescent="0.4">
      <c r="A52" s="2"/>
      <c r="B52" s="2" t="s">
        <v>73</v>
      </c>
      <c r="C52" s="2" t="s">
        <v>89</v>
      </c>
      <c r="D52" s="2">
        <v>1</v>
      </c>
      <c r="E52" s="2" t="s">
        <v>124</v>
      </c>
      <c r="F52" s="2"/>
      <c r="G52" s="2" t="s">
        <v>125</v>
      </c>
      <c r="H52" s="3"/>
      <c r="I52" s="2"/>
      <c r="J52" s="2"/>
      <c r="K52" s="2"/>
    </row>
    <row r="53" spans="1:15" x14ac:dyDescent="0.4">
      <c r="A53" s="2" t="str">
        <f t="shared" si="0"/>
        <v>R30-01</v>
      </c>
      <c r="B53" s="2" t="s">
        <v>73</v>
      </c>
      <c r="C53" s="2" t="s">
        <v>89</v>
      </c>
      <c r="D53" s="2">
        <v>3</v>
      </c>
      <c r="E53" s="2"/>
      <c r="F53" s="2"/>
      <c r="G53" s="2"/>
      <c r="H53" s="3" t="s">
        <v>106</v>
      </c>
      <c r="I53" s="2" t="s">
        <v>67</v>
      </c>
      <c r="J53" s="2" t="s">
        <v>125</v>
      </c>
      <c r="K53" s="2"/>
      <c r="M53" t="str">
        <f t="shared" si="1"/>
        <v>R30-01</v>
      </c>
      <c r="N53" t="str">
        <f t="shared" si="2"/>
        <v>labor_productivity_rules</v>
      </c>
      <c r="O53" t="str">
        <f t="shared" si="18"/>
        <v>歩掛・労務ルール</v>
      </c>
    </row>
    <row r="54" spans="1:15" x14ac:dyDescent="0.4">
      <c r="A54" s="2"/>
      <c r="B54" s="2" t="s">
        <v>73</v>
      </c>
      <c r="C54" s="2" t="s">
        <v>177</v>
      </c>
      <c r="D54" s="2">
        <v>1</v>
      </c>
      <c r="E54" s="2" t="s">
        <v>179</v>
      </c>
      <c r="F54" s="2"/>
      <c r="G54" t="s">
        <v>176</v>
      </c>
      <c r="H54" s="3"/>
      <c r="I54" s="2"/>
      <c r="J54" s="2"/>
      <c r="K54" s="2"/>
    </row>
    <row r="55" spans="1:15" x14ac:dyDescent="0.4">
      <c r="A55" s="2" t="str">
        <f t="shared" ref="A55:A56" si="19">+C55&amp; "-" &amp;H55</f>
        <v>R40-01</v>
      </c>
      <c r="B55" s="2" t="s">
        <v>73</v>
      </c>
      <c r="C55" s="2" t="s">
        <v>177</v>
      </c>
      <c r="D55" s="2">
        <v>3</v>
      </c>
      <c r="E55" s="2"/>
      <c r="F55" s="2"/>
      <c r="G55" s="2"/>
      <c r="H55" s="3" t="s">
        <v>54</v>
      </c>
      <c r="I55" s="2" t="s">
        <v>178</v>
      </c>
      <c r="J55" s="2" t="s">
        <v>180</v>
      </c>
      <c r="K55" s="2"/>
      <c r="M55" t="str">
        <f t="shared" ref="M55:M56" si="20">+A55</f>
        <v>R40-01</v>
      </c>
      <c r="N55" t="str">
        <f t="shared" ref="N55:N56" si="21">+I55</f>
        <v>duct_thickness_rules</v>
      </c>
      <c r="O55" t="str">
        <f t="shared" ref="O55:O56" si="22">+J55</f>
        <v>ダクト板厚選定ルール</v>
      </c>
    </row>
    <row r="56" spans="1:15" x14ac:dyDescent="0.4">
      <c r="A56" s="2"/>
      <c r="B56" s="2" t="s">
        <v>163</v>
      </c>
      <c r="C56" s="2" t="s">
        <v>164</v>
      </c>
      <c r="D56" s="2">
        <v>1</v>
      </c>
      <c r="E56" s="2" t="s">
        <v>171</v>
      </c>
      <c r="F56" s="2"/>
      <c r="G56" t="s">
        <v>173</v>
      </c>
      <c r="H56" s="3"/>
      <c r="I56" s="2"/>
      <c r="J56" s="2"/>
      <c r="K56" s="2"/>
    </row>
    <row r="57" spans="1:15" x14ac:dyDescent="0.4">
      <c r="A57" s="2" t="str">
        <f t="shared" si="0"/>
        <v>I10-01</v>
      </c>
      <c r="B57" s="2" t="s">
        <v>163</v>
      </c>
      <c r="C57" s="2" t="s">
        <v>164</v>
      </c>
      <c r="D57" s="2">
        <v>3</v>
      </c>
      <c r="E57" s="2"/>
      <c r="F57" s="2"/>
      <c r="G57" s="2"/>
      <c r="H57" s="3" t="s">
        <v>165</v>
      </c>
      <c r="I57" s="2" t="s">
        <v>168</v>
      </c>
      <c r="J57" s="2" t="s">
        <v>169</v>
      </c>
      <c r="K57" s="2"/>
      <c r="M57" t="str">
        <f t="shared" ref="M57:M60" si="23">+A57</f>
        <v>I10-01</v>
      </c>
      <c r="N57" t="str">
        <f t="shared" ref="N57:N60" si="24">+I57</f>
        <v>inference_results</v>
      </c>
      <c r="O57" t="str">
        <f t="shared" ref="O57:O60" si="25">+J57</f>
        <v>推論結果</v>
      </c>
    </row>
    <row r="58" spans="1:15" x14ac:dyDescent="0.4">
      <c r="A58" s="2" t="str">
        <f t="shared" si="0"/>
        <v>I10-02</v>
      </c>
      <c r="B58" s="2" t="s">
        <v>163</v>
      </c>
      <c r="C58" s="2" t="s">
        <v>164</v>
      </c>
      <c r="D58" s="2">
        <v>3</v>
      </c>
      <c r="E58" s="2"/>
      <c r="F58" s="2"/>
      <c r="G58" s="2"/>
      <c r="H58" s="3" t="s">
        <v>167</v>
      </c>
      <c r="I58" s="2" t="s">
        <v>175</v>
      </c>
      <c r="J58" s="2" t="s">
        <v>170</v>
      </c>
      <c r="K58" s="2"/>
      <c r="M58" t="str">
        <f t="shared" si="23"/>
        <v>I10-02</v>
      </c>
      <c r="N58" t="str">
        <f t="shared" si="24"/>
        <v>rule_evaluations</v>
      </c>
      <c r="O58" t="str">
        <f t="shared" si="25"/>
        <v>ルール評価履歴</v>
      </c>
    </row>
    <row r="59" spans="1:15" x14ac:dyDescent="0.4">
      <c r="A59" s="2"/>
      <c r="B59" s="2" t="s">
        <v>163</v>
      </c>
      <c r="C59" s="2" t="s">
        <v>166</v>
      </c>
      <c r="D59" s="2">
        <v>1</v>
      </c>
      <c r="E59" s="2" t="s">
        <v>172</v>
      </c>
      <c r="F59" s="2"/>
      <c r="G59" s="2" t="s">
        <v>174</v>
      </c>
      <c r="H59" s="3"/>
      <c r="I59" s="2"/>
      <c r="J59" s="2"/>
      <c r="K59" s="2"/>
    </row>
    <row r="60" spans="1:15" x14ac:dyDescent="0.4">
      <c r="A60" s="2" t="str">
        <f>+C60&amp; "-" &amp;H60</f>
        <v>I20-01</v>
      </c>
      <c r="B60" s="2" t="s">
        <v>163</v>
      </c>
      <c r="C60" s="2" t="s">
        <v>166</v>
      </c>
      <c r="D60" s="2">
        <v>3</v>
      </c>
      <c r="E60" s="2"/>
      <c r="F60" s="2"/>
      <c r="G60" s="2"/>
      <c r="H60" s="3" t="s">
        <v>106</v>
      </c>
      <c r="I60" s="2" t="s">
        <v>63</v>
      </c>
      <c r="J60" s="2" t="s">
        <v>149</v>
      </c>
      <c r="K60" s="2"/>
      <c r="M60" t="str">
        <f t="shared" si="23"/>
        <v>I20-01</v>
      </c>
      <c r="N60" t="str">
        <f t="shared" si="24"/>
        <v>human_reviews</v>
      </c>
      <c r="O60" t="str">
        <f t="shared" si="25"/>
        <v>技術者確認履歴</v>
      </c>
    </row>
    <row r="61" spans="1:15" x14ac:dyDescent="0.4">
      <c r="A61" s="2"/>
      <c r="B61" s="2" t="s">
        <v>75</v>
      </c>
      <c r="C61" s="2" t="s">
        <v>90</v>
      </c>
      <c r="D61" s="2">
        <v>1</v>
      </c>
      <c r="E61" s="2" t="s">
        <v>126</v>
      </c>
      <c r="F61" s="2"/>
      <c r="G61" s="2" t="s">
        <v>127</v>
      </c>
      <c r="H61" s="3"/>
      <c r="I61" s="2"/>
      <c r="J61" s="2"/>
      <c r="K61" s="2"/>
    </row>
    <row r="62" spans="1:15" x14ac:dyDescent="0.4">
      <c r="A62" s="2" t="str">
        <f t="shared" si="0"/>
        <v>O10-01</v>
      </c>
      <c r="B62" s="2" t="s">
        <v>75</v>
      </c>
      <c r="C62" s="2" t="s">
        <v>90</v>
      </c>
      <c r="D62" s="2">
        <v>3</v>
      </c>
      <c r="E62" s="2"/>
      <c r="F62" s="2"/>
      <c r="G62" s="2"/>
      <c r="H62" s="3" t="s">
        <v>106</v>
      </c>
      <c r="I62" s="2" t="s">
        <v>68</v>
      </c>
      <c r="J62" s="2" t="s">
        <v>127</v>
      </c>
      <c r="K62" s="2"/>
      <c r="M62" t="str">
        <f t="shared" si="1"/>
        <v>O10-01</v>
      </c>
      <c r="N62" t="str">
        <f t="shared" si="2"/>
        <v>element_quantity_results</v>
      </c>
      <c r="O62" t="str">
        <f t="shared" si="18"/>
        <v>要素別積算結果</v>
      </c>
    </row>
    <row r="63" spans="1:15" x14ac:dyDescent="0.4">
      <c r="A63" s="2"/>
      <c r="B63" s="2" t="s">
        <v>75</v>
      </c>
      <c r="C63" s="2" t="s">
        <v>91</v>
      </c>
      <c r="D63" s="2">
        <v>1</v>
      </c>
      <c r="E63" s="2" t="s">
        <v>128</v>
      </c>
      <c r="F63" s="2"/>
      <c r="G63" s="2" t="s">
        <v>129</v>
      </c>
      <c r="H63" s="3"/>
      <c r="I63" s="2"/>
      <c r="J63" s="2"/>
      <c r="K63" s="2"/>
    </row>
    <row r="64" spans="1:15" x14ac:dyDescent="0.4">
      <c r="A64" s="2" t="str">
        <f t="shared" si="0"/>
        <v>O20-01</v>
      </c>
      <c r="B64" s="2" t="s">
        <v>75</v>
      </c>
      <c r="C64" s="2" t="s">
        <v>91</v>
      </c>
      <c r="D64" s="2">
        <v>3</v>
      </c>
      <c r="E64" s="2"/>
      <c r="F64" s="2"/>
      <c r="G64" s="2"/>
      <c r="H64" s="3" t="s">
        <v>106</v>
      </c>
      <c r="I64" s="2" t="s">
        <v>69</v>
      </c>
      <c r="J64" s="2" t="s">
        <v>129</v>
      </c>
      <c r="K64" s="2"/>
      <c r="M64" t="str">
        <f t="shared" si="1"/>
        <v>O20-01</v>
      </c>
      <c r="N64" t="str">
        <f t="shared" si="2"/>
        <v>quantity_summaries</v>
      </c>
      <c r="O64" t="str">
        <f t="shared" si="18"/>
        <v>集計結果</v>
      </c>
    </row>
    <row r="65" spans="1:15" x14ac:dyDescent="0.4">
      <c r="A65" s="2"/>
      <c r="B65" s="2" t="s">
        <v>75</v>
      </c>
      <c r="C65" s="2" t="s">
        <v>92</v>
      </c>
      <c r="D65" s="2">
        <v>1</v>
      </c>
      <c r="E65" s="2" t="s">
        <v>130</v>
      </c>
      <c r="F65" s="2"/>
      <c r="G65" s="2" t="s">
        <v>131</v>
      </c>
      <c r="H65" s="3"/>
      <c r="I65" s="2"/>
      <c r="J65" s="2"/>
      <c r="K65" s="2"/>
    </row>
    <row r="66" spans="1:15" x14ac:dyDescent="0.4">
      <c r="A66" s="2" t="str">
        <f t="shared" si="0"/>
        <v>O30-01</v>
      </c>
      <c r="B66" s="2" t="s">
        <v>75</v>
      </c>
      <c r="C66" s="2" t="s">
        <v>92</v>
      </c>
      <c r="D66" s="2">
        <v>3</v>
      </c>
      <c r="E66" s="2"/>
      <c r="F66" s="2"/>
      <c r="G66" s="2"/>
      <c r="H66" s="3" t="s">
        <v>106</v>
      </c>
      <c r="I66" s="2" t="s">
        <v>70</v>
      </c>
      <c r="J66" s="2" t="s">
        <v>131</v>
      </c>
      <c r="K66" s="2"/>
      <c r="M66" t="str">
        <f t="shared" si="1"/>
        <v>O30-01</v>
      </c>
      <c r="N66" t="str">
        <f t="shared" si="2"/>
        <v>calculation_evidence</v>
      </c>
      <c r="O66" t="str">
        <f t="shared" si="18"/>
        <v>計算根拠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テーブル体系表</vt:lpstr>
    </vt:vector>
  </TitlesOfParts>
  <Company>TONETS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辻谷 宣宏</dc:creator>
  <cp:lastModifiedBy>辻谷 宣宏</cp:lastModifiedBy>
  <dcterms:created xsi:type="dcterms:W3CDTF">2026-09-18T00:14:14Z</dcterms:created>
  <dcterms:modified xsi:type="dcterms:W3CDTF">2026-10-05T06:46:05Z</dcterms:modified>
</cp:coreProperties>
</file>