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G:\ENMA-WG\enma-poc\docs\"/>
    </mc:Choice>
  </mc:AlternateContent>
  <xr:revisionPtr revIDLastSave="0" documentId="13_ncr:1_{094BE387-87CE-4031-8B08-2FFBB5732A85}" xr6:coauthVersionLast="47" xr6:coauthVersionMax="47" xr10:uidLastSave="{00000000-0000-0000-0000-000000000000}"/>
  <bookViews>
    <workbookView xWindow="-120" yWindow="-120" windowWidth="29040" windowHeight="15720" xr2:uid="{00000000-000D-0000-FFFF-FFFF00000000}"/>
  </bookViews>
  <sheets>
    <sheet name="テーブル設計" sheetId="1" r:id="rId1"/>
  </sheets>
  <definedNames>
    <definedName name="_xlnm.Print_Area" localSheetId="0">テーブル設計!$A$1:$L$1381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1" l="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M1085" i="1"/>
  <c r="M1039" i="1"/>
  <c r="B1128" i="1"/>
  <c r="B1083" i="1"/>
  <c r="M424" i="1"/>
  <c r="M381" i="1"/>
  <c r="B469" i="1"/>
  <c r="B422" i="1"/>
  <c r="M293" i="1"/>
  <c r="M249" i="1"/>
  <c r="B330" i="1"/>
  <c r="B291" i="1"/>
  <c r="B549" i="1"/>
  <c r="M511" i="1"/>
  <c r="M1177" i="1"/>
  <c r="M1220" i="1"/>
  <c r="M1274" i="1"/>
  <c r="B509" i="1"/>
  <c r="M471" i="1"/>
  <c r="B1175" i="1"/>
  <c r="M1130" i="1"/>
  <c r="B247" i="1"/>
  <c r="M214" i="1"/>
  <c r="B212" i="1"/>
  <c r="M164" i="1"/>
  <c r="M84" i="1"/>
  <c r="M332" i="1"/>
  <c r="M551" i="1"/>
  <c r="M589" i="1"/>
  <c r="M629" i="1"/>
  <c r="M667" i="1"/>
  <c r="M706" i="1"/>
  <c r="M746" i="1"/>
  <c r="M790" i="1"/>
  <c r="M901" i="1"/>
  <c r="M828" i="1"/>
  <c r="M947" i="1"/>
  <c r="M866" i="1"/>
  <c r="M990" i="1"/>
  <c r="M124" i="1"/>
  <c r="B945" i="1"/>
  <c r="B1380" i="1"/>
  <c r="B1326" i="1"/>
  <c r="B1272" i="1"/>
  <c r="B1218" i="1"/>
  <c r="B162" i="1"/>
  <c r="B1037" i="1"/>
  <c r="B899" i="1"/>
  <c r="B988" i="1"/>
  <c r="B864" i="1"/>
  <c r="B826" i="1"/>
  <c r="B788" i="1"/>
  <c r="B744" i="1"/>
  <c r="B704" i="1"/>
  <c r="B665" i="1"/>
  <c r="B627" i="1"/>
  <c r="B587" i="1"/>
  <c r="B379" i="1"/>
  <c r="B123" i="1" l="1"/>
</calcChain>
</file>

<file path=xl/sharedStrings.xml><?xml version="1.0" encoding="utf-8"?>
<sst xmlns="http://schemas.openxmlformats.org/spreadsheetml/2006/main" count="2218" uniqueCount="744">
  <si>
    <t>列</t>
  </si>
  <si>
    <t>内容</t>
  </si>
  <si>
    <t>項目名</t>
  </si>
  <si>
    <t>日本語</t>
  </si>
  <si>
    <t>データ型</t>
  </si>
  <si>
    <t>PK</t>
  </si>
  <si>
    <t>主キーか</t>
  </si>
  <si>
    <t>FK</t>
  </si>
  <si>
    <t>外部キーか</t>
  </si>
  <si>
    <t>NOT NULL</t>
  </si>
  <si>
    <t>必須項目か</t>
  </si>
  <si>
    <t>UNIQUE</t>
  </si>
  <si>
    <t>重複不可か</t>
  </si>
  <si>
    <t>DEFAULT</t>
  </si>
  <si>
    <t>初期値</t>
  </si>
  <si>
    <t>参照先</t>
  </si>
  <si>
    <t>employees.id など</t>
  </si>
  <si>
    <t>備考</t>
  </si>
  <si>
    <t>列挙値、計算方法など</t>
  </si>
  <si>
    <t>※単一列のUNIQUEではなく、必要に応じて複合UNIQUEを考えます。</t>
  </si>
  <si>
    <t>例：</t>
  </si>
  <si>
    <t>テーブル名</t>
  </si>
  <si>
    <t>論理名</t>
  </si>
  <si>
    <t>目的</t>
  </si>
  <si>
    <t>主キー</t>
  </si>
  <si>
    <t>id</t>
  </si>
  <si>
    <t>参照されるテーブル</t>
  </si>
  <si>
    <t>必須</t>
  </si>
  <si>
    <t>ID</t>
  </si>
  <si>
    <t>INTEGER</t>
  </si>
  <si>
    <t>〇</t>
  </si>
  <si>
    <t>TEXT</t>
  </si>
  <si>
    <t>name</t>
  </si>
  <si>
    <t>DATE</t>
  </si>
  <si>
    <t>created_at</t>
  </si>
  <si>
    <t>作成日時</t>
  </si>
  <si>
    <t>DATETIME</t>
  </si>
  <si>
    <t>CURRENT_TIMESTAMP</t>
  </si>
  <si>
    <t>updated_at</t>
  </si>
  <si>
    <t>更新日時</t>
  </si>
  <si>
    <t>valid_from</t>
  </si>
  <si>
    <t>valid_to</t>
  </si>
  <si>
    <t>BOOLEAN</t>
  </si>
  <si>
    <t>effective_from</t>
  </si>
  <si>
    <t>effective_to</t>
  </si>
  <si>
    <t>notes</t>
  </si>
  <si>
    <t>document_type</t>
  </si>
  <si>
    <t>重複</t>
  </si>
  <si>
    <t>〇:「重複不可」、×:「重複可」</t>
    <phoneticPr fontId="7"/>
  </si>
  <si>
    <t>設計時考慮点</t>
  </si>
  <si>
    <t>SQLAlchemyのonupdateで更新</t>
  </si>
  <si>
    <t>主な定義項目</t>
    <phoneticPr fontId="7"/>
  </si>
  <si>
    <t>テーブル一覧</t>
    <phoneticPr fontId="7"/>
  </si>
  <si>
    <t>改訂履歴</t>
    <phoneticPr fontId="7"/>
  </si>
  <si>
    <t>Ver1.0</t>
  </si>
  <si>
    <t>初版</t>
  </si>
  <si>
    <t>有効フラグ</t>
  </si>
  <si>
    <t>is_active</t>
  </si>
  <si>
    <t>source_url</t>
  </si>
  <si>
    <t>出典URL</t>
  </si>
  <si>
    <t>published_date</t>
  </si>
  <si>
    <t>適用開始日</t>
  </si>
  <si>
    <t>適用終了日</t>
  </si>
  <si>
    <t>ENMAテーブル設計書</t>
    <phoneticPr fontId="7"/>
  </si>
  <si>
    <t>2026/09/16</t>
    <phoneticPr fontId="7"/>
  </si>
  <si>
    <t>※</t>
    <phoneticPr fontId="7"/>
  </si>
  <si>
    <t>projects</t>
  </si>
  <si>
    <t>案件</t>
  </si>
  <si>
    <t>standard_documents</t>
  </si>
  <si>
    <t>fluids</t>
  </si>
  <si>
    <t>流体マスタ</t>
  </si>
  <si>
    <t>pipe_materials</t>
  </si>
  <si>
    <t>管材マスタ</t>
  </si>
  <si>
    <t>pipe_standards</t>
  </si>
  <si>
    <t>管規格マスタ</t>
  </si>
  <si>
    <t>pipe_sizes</t>
  </si>
  <si>
    <t>管サイズマスタ</t>
  </si>
  <si>
    <t>insulation_types</t>
  </si>
  <si>
    <t>保温種別マスタ</t>
  </si>
  <si>
    <t>painting_types</t>
  </si>
  <si>
    <t>塗装種別マスタ</t>
  </si>
  <si>
    <t>insulation_rules</t>
  </si>
  <si>
    <t>painting_rules</t>
  </si>
  <si>
    <t>worker_types</t>
  </si>
  <si>
    <t>calculation_runs</t>
  </si>
  <si>
    <t>その案件で「どの年度版を使うか」を決める起点</t>
  </si>
  <si>
    <t>code</t>
  </si>
  <si>
    <t>案件コード</t>
  </si>
  <si>
    <t>案件名</t>
  </si>
  <si>
    <t>description</t>
  </si>
  <si>
    <t>案件説明</t>
  </si>
  <si>
    <t>design_date</t>
  </si>
  <si>
    <t>設計基準日</t>
  </si>
  <si>
    <t>construction_start_date</t>
  </si>
  <si>
    <t>工事開始予定日</t>
  </si>
  <si>
    <t>construction_end_date</t>
  </si>
  <si>
    <t>工事完了予定日</t>
  </si>
  <si>
    <t>ifc_file_name</t>
  </si>
  <si>
    <t>IFCファイル名</t>
  </si>
  <si>
    <t>※document_type</t>
  </si>
  <si>
    <t>案件ID</t>
  </si>
  <si>
    <t>案件ID</t>
    <phoneticPr fontId="7"/>
  </si>
  <si>
    <t>基準文書ID</t>
  </si>
  <si>
    <t>文書コード</t>
  </si>
  <si>
    <t>文書種別</t>
  </si>
  <si>
    <t>title</t>
  </si>
  <si>
    <t>文書名称</t>
  </si>
  <si>
    <t>publisher</t>
  </si>
  <si>
    <t>edition_year</t>
  </si>
  <si>
    <t>版年度</t>
  </si>
  <si>
    <t>edition_name</t>
  </si>
  <si>
    <t>版名称</t>
  </si>
  <si>
    <t>revision</t>
  </si>
  <si>
    <t>改訂・修補情報</t>
  </si>
  <si>
    <t>発行日</t>
  </si>
  <si>
    <t>source_file</t>
  </si>
  <si>
    <t>原典ファイル名</t>
  </si>
  <si>
    <t>source_hash</t>
  </si>
  <si>
    <t>原典ハッシュ値</t>
  </si>
  <si>
    <t>project_id</t>
  </si>
  <si>
    <t>standard_document_id</t>
  </si>
  <si>
    <t>application_type</t>
  </si>
  <si>
    <t>適用区分</t>
  </si>
  <si>
    <t>priority</t>
  </si>
  <si>
    <t>effective_date</t>
  </si>
  <si>
    <t>案件適用日</t>
  </si>
  <si>
    <t>specified_by</t>
  </si>
  <si>
    <t>指定根拠</t>
  </si>
  <si>
    <t>remarks</t>
  </si>
  <si>
    <t>CHW</t>
  </si>
  <si>
    <t>冷温水</t>
  </si>
  <si>
    <t>CW</t>
  </si>
  <si>
    <t>冷水</t>
  </si>
  <si>
    <t>HW</t>
  </si>
  <si>
    <t>温水</t>
  </si>
  <si>
    <t>W</t>
  </si>
  <si>
    <t>上水</t>
  </si>
  <si>
    <t>D</t>
  </si>
  <si>
    <t>排水</t>
  </si>
  <si>
    <t>V</t>
  </si>
  <si>
    <t>通気</t>
  </si>
  <si>
    <t>R</t>
  </si>
  <si>
    <t>冷媒</t>
  </si>
  <si>
    <t>O</t>
  </si>
  <si>
    <t>油</t>
  </si>
  <si>
    <t>※例えば</t>
    <rPh sb="1" eb="2">
      <t>タト</t>
    </rPh>
    <phoneticPr fontId="7"/>
  </si>
  <si>
    <t>IfcDistributionSystem と流体は別物としておくため</t>
    <phoneticPr fontId="7"/>
  </si>
  <si>
    <t>流体ID</t>
  </si>
  <si>
    <t>流体コード</t>
  </si>
  <si>
    <t>流体名</t>
  </si>
  <si>
    <t>category</t>
  </si>
  <si>
    <t>流体分類</t>
  </si>
  <si>
    <t>説明</t>
  </si>
  <si>
    <t>bsdd_uri</t>
  </si>
  <si>
    <t>bSDD URI</t>
  </si>
  <si>
    <t>ifc_system_type</t>
  </si>
  <si>
    <t>IFC系統分類</t>
  </si>
  <si>
    <t>display_order</t>
  </si>
  <si>
    <t>表示順</t>
  </si>
  <si>
    <t>※候補は、</t>
    <phoneticPr fontId="7"/>
  </si>
  <si>
    <t>INDOOR_EXPOSED</t>
  </si>
  <si>
    <t>屋内露出</t>
  </si>
  <si>
    <t>CEILING_VOID</t>
  </si>
  <si>
    <t>天井内</t>
  </si>
  <si>
    <t>SHAFT</t>
  </si>
  <si>
    <t>PS・シャフト内</t>
  </si>
  <si>
    <t>MACHINE_ROOM</t>
  </si>
  <si>
    <t>機械室</t>
  </si>
  <si>
    <t>PIT</t>
  </si>
  <si>
    <t>ピット内</t>
  </si>
  <si>
    <t>OUTDOOR_EXPOSED</t>
  </si>
  <si>
    <t>屋外露出</t>
  </si>
  <si>
    <t>UNDERGROUND</t>
  </si>
  <si>
    <t>地中</t>
  </si>
  <si>
    <t>保温・塗装・歩掛の重要な条件。</t>
  </si>
  <si>
    <t>施工箇所ID</t>
  </si>
  <si>
    <t>施工箇所コード</t>
  </si>
  <si>
    <t>施工箇所名</t>
  </si>
  <si>
    <t>施工箇所分類</t>
  </si>
  <si>
    <t>※例えば SGP / SUS / CU / VP / VU 等を想定</t>
  </si>
  <si>
    <t>管材ID</t>
  </si>
  <si>
    <t>管材コード</t>
  </si>
  <si>
    <t>管材名</t>
  </si>
  <si>
    <t>short_name</t>
  </si>
  <si>
    <t>略称</t>
  </si>
  <si>
    <t>material_category</t>
  </si>
  <si>
    <t>材質分類</t>
  </si>
  <si>
    <t>JIS等の規格と管材を関連付ける</t>
  </si>
  <si>
    <t>管規格ID</t>
  </si>
  <si>
    <t>pipe_material_id</t>
  </si>
  <si>
    <t>standard_code</t>
  </si>
  <si>
    <t>規格番号</t>
  </si>
  <si>
    <t>standard_name</t>
  </si>
  <si>
    <t>規格名称</t>
  </si>
  <si>
    <t>application</t>
  </si>
  <si>
    <t>用途</t>
  </si>
  <si>
    <t>SGP → JIS G 3452</t>
  </si>
  <si>
    <t>銅管 → JIS H 3300</t>
  </si>
  <si>
    <t>という関係</t>
    <rPh sb="3" eb="5">
      <t>カンケイ</t>
    </rPh>
    <phoneticPr fontId="7"/>
  </si>
  <si>
    <t>JIS G 3452 / SGP / 50A / 2 / 60.5</t>
  </si>
  <si>
    <t>というレコード</t>
  </si>
  <si>
    <t>OuterDiameter → 呼び径 の核心</t>
  </si>
  <si>
    <t>管サイズID</t>
  </si>
  <si>
    <t>pipe_standard_id</t>
  </si>
  <si>
    <t>nominal_a</t>
  </si>
  <si>
    <t>呼び径A</t>
  </si>
  <si>
    <t>nominal_b</t>
  </si>
  <si>
    <t>呼び径B</t>
  </si>
  <si>
    <t>common_name</t>
  </si>
  <si>
    <t>俗称</t>
  </si>
  <si>
    <t>outer_diameter_mm</t>
  </si>
  <si>
    <t>外径mm</t>
  </si>
  <si>
    <t>REAL</t>
  </si>
  <si>
    <t>wall_thickness_mm</t>
  </si>
  <si>
    <t>肉厚mm</t>
  </si>
  <si>
    <t>inner_diameter_mm</t>
  </si>
  <si>
    <t>内径mm</t>
  </si>
  <si>
    <t>schedule</t>
  </si>
  <si>
    <t>スケジュール</t>
  </si>
  <si>
    <t>ENMA内部ID</t>
  </si>
  <si>
    <t>保温種別ID</t>
  </si>
  <si>
    <t>保温種別コード</t>
  </si>
  <si>
    <t>保温種別名</t>
  </si>
  <si>
    <t>material_name</t>
  </si>
  <si>
    <t>保温材料名</t>
  </si>
  <si>
    <t>finish_name</t>
  </si>
  <si>
    <t>外装材名</t>
  </si>
  <si>
    <t>保温適用ルールID</t>
  </si>
  <si>
    <t>適用基準文書ID</t>
  </si>
  <si>
    <t>fluid_id</t>
  </si>
  <si>
    <t>work_location_id</t>
  </si>
  <si>
    <t>最小呼び径</t>
  </si>
  <si>
    <t>最大呼び径</t>
  </si>
  <si>
    <t>insulation_type_id</t>
  </si>
  <si>
    <t>insulation_thickness_mm</t>
  </si>
  <si>
    <t>保温厚mm</t>
  </si>
  <si>
    <t>quantity_unit</t>
  </si>
  <si>
    <t>数量単位</t>
  </si>
  <si>
    <t>source_table</t>
  </si>
  <si>
    <t>原典表番号</t>
  </si>
  <si>
    <t>source_page</t>
  </si>
  <si>
    <t>原典ページ</t>
  </si>
  <si>
    <t>IfcCoveringを必須にしなくてもよいというPoCにつながる。</t>
  </si>
  <si>
    <t>塗装種別ID</t>
  </si>
  <si>
    <t>塗装種別コード</t>
  </si>
  <si>
    <t>塗装種別名</t>
  </si>
  <si>
    <t>paint_system</t>
  </si>
  <si>
    <t>塗装系</t>
  </si>
  <si>
    <t>coat_count</t>
  </si>
  <si>
    <t>塗装回数</t>
  </si>
  <si>
    <t>塗装適用ルールID</t>
  </si>
  <si>
    <t>painting_type_id</t>
  </si>
  <si>
    <t>※例えば 配管工 / 保温工 / 塗装工 など</t>
    <phoneticPr fontId="7"/>
  </si>
  <si>
    <t>職種ID</t>
  </si>
  <si>
    <t>職種コード</t>
  </si>
  <si>
    <t>職種名</t>
  </si>
  <si>
    <t>標準歩掛ID</t>
  </si>
  <si>
    <t>work_type</t>
  </si>
  <si>
    <t>工種</t>
  </si>
  <si>
    <t>worker_type_id</t>
  </si>
  <si>
    <t>pipe_size_id</t>
  </si>
  <si>
    <t>labor_unit</t>
  </si>
  <si>
    <t>労務単位</t>
  </si>
  <si>
    <t>labor_quantity</t>
  </si>
  <si>
    <t>標準歩掛</t>
  </si>
  <si>
    <t>「何を根拠に計算したのか」を残すマスタ。</t>
  </si>
  <si>
    <t>積算実行ID</t>
  </si>
  <si>
    <t>run_name</t>
  </si>
  <si>
    <t>積算実行名称</t>
  </si>
  <si>
    <t>設備IFCファイル名</t>
  </si>
  <si>
    <t>architecture_ifc_file_name</t>
  </si>
  <si>
    <t>建築IFCファイル名</t>
  </si>
  <si>
    <t>ifc_hash</t>
  </si>
  <si>
    <t>設備IFCハッシュ値</t>
  </si>
  <si>
    <t>architecture_ifc_hash</t>
  </si>
  <si>
    <t>建築IFCハッシュ値</t>
  </si>
  <si>
    <t>calculated_at</t>
  </si>
  <si>
    <t>計算日時</t>
  </si>
  <si>
    <t>program_version</t>
  </si>
  <si>
    <t>ENMAバージョン</t>
  </si>
  <si>
    <t>git_commit</t>
  </si>
  <si>
    <t>GitコミットID</t>
  </si>
  <si>
    <t>P10-01</t>
  </si>
  <si>
    <t>P20-01</t>
  </si>
  <si>
    <t>P30-01</t>
  </si>
  <si>
    <t>IFC要素</t>
  </si>
  <si>
    <t>P30-02</t>
  </si>
  <si>
    <t>element_properties</t>
  </si>
  <si>
    <t>要素プロパティ</t>
  </si>
  <si>
    <t>human_reviews</t>
  </si>
  <si>
    <t>S10-01</t>
  </si>
  <si>
    <t>S20-01</t>
  </si>
  <si>
    <t>specification_sets</t>
  </si>
  <si>
    <t>S30-01</t>
  </si>
  <si>
    <t>M10-01</t>
  </si>
  <si>
    <t>M10-02</t>
  </si>
  <si>
    <t>施工場所マスタ</t>
  </si>
  <si>
    <t>M21-01</t>
  </si>
  <si>
    <t>M21-02</t>
  </si>
  <si>
    <t>M21-03</t>
  </si>
  <si>
    <t>M31-01</t>
  </si>
  <si>
    <t>M32-01</t>
  </si>
  <si>
    <t>M50-01</t>
  </si>
  <si>
    <t>R10-01</t>
  </si>
  <si>
    <t>保温判定ルール</t>
  </si>
  <si>
    <t>R20-01</t>
  </si>
  <si>
    <t>塗装判定ルール</t>
  </si>
  <si>
    <t>R30-01</t>
  </si>
  <si>
    <t>labor_productivity_rules</t>
  </si>
  <si>
    <t>歩掛・労務ルール</t>
  </si>
  <si>
    <t>O10-01</t>
  </si>
  <si>
    <t>element_quantity_results</t>
  </si>
  <si>
    <t>要素別積算結果</t>
  </si>
  <si>
    <t>O20-01</t>
  </si>
  <si>
    <t>quantity_summaries</t>
  </si>
  <si>
    <t>集計結果</t>
  </si>
  <si>
    <t>O30-01</t>
  </si>
  <si>
    <t>calculation_evidence</t>
  </si>
  <si>
    <t>計算根拠</t>
  </si>
  <si>
    <t>global_id</t>
  </si>
  <si>
    <t>IFC GlobalId</t>
  </si>
  <si>
    <t>ifc_class</t>
  </si>
  <si>
    <t>IFCクラス</t>
  </si>
  <si>
    <t>IFC名称</t>
  </si>
  <si>
    <t>system_name</t>
  </si>
  <si>
    <t>系統名</t>
  </si>
  <si>
    <t>storey_name</t>
  </si>
  <si>
    <t>階名</t>
  </si>
  <si>
    <t>space_name</t>
  </si>
  <si>
    <t>Space名</t>
  </si>
  <si>
    <t>length_m</t>
  </si>
  <si>
    <t>長さm</t>
  </si>
  <si>
    <t>confidence</t>
  </si>
  <si>
    <t>信頼度</t>
  </si>
  <si>
    <t>review_status</t>
  </si>
  <si>
    <t>確認状態</t>
  </si>
  <si>
    <t>reviewed_at</t>
  </si>
  <si>
    <t>確認日時</t>
  </si>
  <si>
    <t>〇</t>
    <phoneticPr fontId="7"/>
  </si>
  <si>
    <t>nominal_a_min</t>
  </si>
  <si>
    <t>nominal_a_max</t>
  </si>
  <si>
    <t>calculation_run_id</t>
  </si>
  <si>
    <t>ifc_element_id</t>
  </si>
  <si>
    <t>pset_name</t>
  </si>
  <si>
    <t>property_name</t>
  </si>
  <si>
    <t>property_value</t>
  </si>
  <si>
    <t>property_type</t>
  </si>
  <si>
    <t>source</t>
  </si>
  <si>
    <t>〇</t>
    <phoneticPr fontId="7"/>
  </si>
  <si>
    <t>要素プロパティID</t>
    <rPh sb="0" eb="2">
      <t>ヨウソ</t>
    </rPh>
    <phoneticPr fontId="7"/>
  </si>
  <si>
    <t>IfcElement = 52</t>
  </si>
  <si>
    <t>Pset = Pset_xxx</t>
  </si>
  <si>
    <t>Property = NominalDiameter</t>
  </si>
  <si>
    <t>Value = 50</t>
  </si>
  <si>
    <t>Type = IfcLengthMeasure</t>
  </si>
  <si>
    <t>Source = IFC</t>
  </si>
  <si>
    <t>ENMA内部ID　例　123</t>
    <rPh sb="9" eb="10">
      <t>レイ</t>
    </rPh>
    <phoneticPr fontId="7"/>
  </si>
  <si>
    <t>※IFC生Propertyの証拠保管庫として縦持ちにする考え方を採用</t>
    <phoneticPr fontId="7"/>
  </si>
  <si>
    <t>candidate_value</t>
  </si>
  <si>
    <t>confirmed_value</t>
  </si>
  <si>
    <t>review_type</t>
  </si>
  <si>
    <t>1 1/4</t>
    <phoneticPr fontId="7"/>
  </si>
  <si>
    <t>クォータ</t>
    <phoneticPr fontId="7"/>
  </si>
  <si>
    <t>職種マスタ</t>
    <rPh sb="0" eb="1">
      <t>ショク</t>
    </rPh>
    <phoneticPr fontId="7"/>
  </si>
  <si>
    <t>職種マスタ</t>
    <rPh sb="0" eb="2">
      <t>ショクシュ</t>
    </rPh>
    <phoneticPr fontId="7"/>
  </si>
  <si>
    <t>最終的に数量から人工を算出する中心のEngineering Rule</t>
  </si>
  <si>
    <t>情報源</t>
  </si>
  <si>
    <t>IFC要素ID</t>
  </si>
  <si>
    <t>TEXT</t>
    <phoneticPr fontId="7"/>
  </si>
  <si>
    <t>プロパティセット名</t>
  </si>
  <si>
    <t>プロパティ名</t>
  </si>
  <si>
    <t>プロパティ値</t>
  </si>
  <si>
    <t>プロパティ型</t>
  </si>
  <si>
    <t>確認種別</t>
  </si>
  <si>
    <t>適用優先順位</t>
  </si>
  <si>
    <t>技術者確認履歴</t>
  </si>
  <si>
    <t>仕様セット</t>
  </si>
  <si>
    <t>積算実行履歴</t>
    <phoneticPr fontId="7"/>
  </si>
  <si>
    <t>projects.id</t>
  </si>
  <si>
    <t>fluids.id</t>
  </si>
  <si>
    <t>pipe_sizes.id</t>
  </si>
  <si>
    <t>pipe_materials.id</t>
  </si>
  <si>
    <t>ifc_elements.id</t>
  </si>
  <si>
    <t>work_locations.id</t>
  </si>
  <si>
    <t>技術者確認履歴ID</t>
  </si>
  <si>
    <t>standard_documents.id</t>
  </si>
  <si>
    <t>pipe_standards.id</t>
  </si>
  <si>
    <t>insulation_types.id</t>
  </si>
  <si>
    <t>standard_documents.id</t>
    <phoneticPr fontId="7"/>
  </si>
  <si>
    <t>painting_types.id</t>
  </si>
  <si>
    <t>worker_types.id</t>
  </si>
  <si>
    <t>pipe_sizes.id</t>
    <phoneticPr fontId="7"/>
  </si>
  <si>
    <t>案件積算実行履歴</t>
    <phoneticPr fontId="7"/>
  </si>
  <si>
    <t>積算実行履歴</t>
    <phoneticPr fontId="7"/>
  </si>
  <si>
    <t>IFC要素</t>
    <phoneticPr fontId="7"/>
  </si>
  <si>
    <t>要素プロパティ</t>
    <phoneticPr fontId="7"/>
  </si>
  <si>
    <t>技術者確認履歴</t>
    <phoneticPr fontId="7"/>
  </si>
  <si>
    <t>S20-02</t>
    <phoneticPr fontId="7"/>
  </si>
  <si>
    <t>仕様セット構成</t>
  </si>
  <si>
    <t>案件適用仕様</t>
  </si>
  <si>
    <t>案件適用仕様</t>
    <phoneticPr fontId="7"/>
  </si>
  <si>
    <t>specification_set_items</t>
  </si>
  <si>
    <t>仕様セット構成</t>
    <phoneticPr fontId="7"/>
  </si>
  <si>
    <t>仕様セット</t>
    <phoneticPr fontId="7"/>
  </si>
  <si>
    <t>project_specifications</t>
  </si>
  <si>
    <t>○</t>
  </si>
  <si>
    <t>基準文書</t>
    <rPh sb="0" eb="2">
      <t>キジュンン</t>
    </rPh>
    <rPh sb="2" eb="4">
      <t>ブンショ</t>
    </rPh>
    <phoneticPr fontId="7"/>
  </si>
  <si>
    <t>基準文書</t>
    <rPh sb="0" eb="2">
      <t>キジュン</t>
    </rPh>
    <rPh sb="2" eb="4">
      <t>ブンショ</t>
    </rPh>
    <phoneticPr fontId="7"/>
  </si>
  <si>
    <t>仕様セットID</t>
  </si>
  <si>
    <t>仕様セットコード</t>
  </si>
  <si>
    <t>仕様セット名称</t>
  </si>
  <si>
    <t>仕様セット説明</t>
  </si>
  <si>
    <t>version</t>
  </si>
  <si>
    <t>仕様セット版</t>
  </si>
  <si>
    <t>仕様セット構成ID</t>
  </si>
  <si>
    <t>specification_set_id</t>
  </si>
  <si>
    <t>◯</t>
  </si>
  <si>
    <t>specification_sets.id</t>
  </si>
  <si>
    <t>application_scope</t>
  </si>
  <si>
    <t>適用範囲</t>
  </si>
  <si>
    <t>reference_section</t>
  </si>
  <si>
    <t>参照箇所</t>
  </si>
  <si>
    <t>案件適用仕様ID</t>
  </si>
  <si>
    <t>specification_sets.id</t>
    <phoneticPr fontId="7"/>
  </si>
  <si>
    <t>※複数の基準文書を、特定の目的・年度・適用条件に応じた一つの仕様セットとして管理する。</t>
    <phoneticPr fontId="7"/>
  </si>
  <si>
    <t>※個々の原典との関係は specification_set_items で管理し、案件への適用は project_specifications で管理する。</t>
    <phoneticPr fontId="7"/>
  </si>
  <si>
    <t>◯</t>
    <phoneticPr fontId="7"/>
  </si>
  <si>
    <t>※priorityはSQLの ORDER BY priority ASC でそのまま使えることを考慮し、数値が小さいほど優先</t>
    <phoneticPr fontId="7"/>
  </si>
  <si>
    <t>数値が小さいほど優先</t>
  </si>
  <si>
    <t>ifc_elements</t>
    <phoneticPr fontId="7"/>
  </si>
  <si>
    <t>積算実行履歴ID</t>
  </si>
  <si>
    <t>calculation_runs.id</t>
  </si>
  <si>
    <t>必須追加</t>
    <rPh sb="0" eb="2">
      <t>ヒッス</t>
    </rPh>
    <rPh sb="2" eb="4">
      <t>ツイカ</t>
    </rPh>
    <phoneticPr fontId="9"/>
  </si>
  <si>
    <t>IFC事実  IFCとの鍵</t>
  </si>
  <si>
    <t>IFC事実 IfcPipeSegment等</t>
  </si>
  <si>
    <t>IFC事実</t>
  </si>
  <si>
    <t>object_type</t>
  </si>
  <si>
    <t>IFCオブジェクトタイプ</t>
  </si>
  <si>
    <t>predefined_type</t>
  </si>
  <si>
    <t>IFC定義済みタイプ</t>
  </si>
  <si>
    <t>system_predefined_type</t>
  </si>
  <si>
    <t>IFC系統定義済みタイプ</t>
  </si>
  <si>
    <t>ENMA正規化</t>
  </si>
  <si>
    <t>outer_surface_area_m2</t>
  </si>
  <si>
    <t>外表面積㎡</t>
  </si>
  <si>
    <t>ifc_material_name</t>
  </si>
  <si>
    <t>IFC材質名</t>
  </si>
  <si>
    <t>追加・IFC事実</t>
  </si>
  <si>
    <t>IFCポート接続</t>
  </si>
  <si>
    <t>IFCポート</t>
    <phoneticPr fontId="7"/>
  </si>
  <si>
    <t>ifc_ports</t>
  </si>
  <si>
    <t>ifc_port_connections</t>
  </si>
  <si>
    <t>P30-03</t>
  </si>
  <si>
    <t>P30-04</t>
  </si>
  <si>
    <t>P30-03</t>
    <phoneticPr fontId="7"/>
  </si>
  <si>
    <t>P30-04</t>
    <phoneticPr fontId="7"/>
  </si>
  <si>
    <t>IFCポートID</t>
  </si>
  <si>
    <t>ifc_step_id</t>
  </si>
  <si>
    <t>IFC STEP ID</t>
  </si>
  <si>
    <t>IFC内の #90607 等</t>
  </si>
  <si>
    <t>存在する場合</t>
  </si>
  <si>
    <t>IFCポート名称</t>
  </si>
  <si>
    <t>IFCポート説明</t>
  </si>
  <si>
    <t>flow_direction</t>
  </si>
  <si>
    <t>流れ方向</t>
  </si>
  <si>
    <t>SOURCE / SINK / SOURCEANDSINK 等</t>
  </si>
  <si>
    <t>system_type</t>
  </si>
  <si>
    <t>IFC系統タイプ</t>
  </si>
  <si>
    <t>IFCに存在する場合</t>
  </si>
  <si>
    <t>nominal_diameter_mm</t>
  </si>
  <si>
    <t>呼称径情報mm</t>
  </si>
  <si>
    <t>Portに明示されている場合</t>
  </si>
  <si>
    <t>IFCポート接続ID</t>
  </si>
  <si>
    <t>rel_global_id</t>
  </si>
  <si>
    <t>IFC接続関係GlobalId</t>
  </si>
  <si>
    <t>IfcRelConnectsPorts のGlobalId</t>
  </si>
  <si>
    <t>relating_port_id</t>
  </si>
  <si>
    <t>接続元ポートID</t>
  </si>
  <si>
    <t>ifc_ports.id</t>
  </si>
  <si>
    <t>related_port_id</t>
  </si>
  <si>
    <t>接続先ポートID</t>
  </si>
  <si>
    <t>connection_type</t>
  </si>
  <si>
    <t>接続種別</t>
  </si>
  <si>
    <t>IfcRelConnectsPorts 等</t>
  </si>
  <si>
    <t>「どことどこがつながっているか」Port同士の情報を保存</t>
  </si>
  <si>
    <t>　</t>
    <phoneticPr fontId="7"/>
  </si>
  <si>
    <t>work_locations</t>
    <phoneticPr fontId="7"/>
  </si>
  <si>
    <t>ifcファイル該当品目のポート情報を保存する</t>
    <rPh sb="7" eb="9">
      <t>ガイトウ</t>
    </rPh>
    <rPh sb="9" eb="11">
      <t>ヒンモク</t>
    </rPh>
    <rPh sb="15" eb="17">
      <t>ジョウホウ</t>
    </rPh>
    <rPh sb="18" eb="20">
      <t>ホゾン</t>
    </rPh>
    <phoneticPr fontId="7"/>
  </si>
  <si>
    <t xml:space="preserve">IFC STEP ID </t>
  </si>
  <si>
    <t>ifc_step_id</t>
    <phoneticPr fontId="7"/>
  </si>
  <si>
    <t>IFCポート接続</t>
    <rPh sb="6" eb="8">
      <t>セツゾク</t>
    </rPh>
    <phoneticPr fontId="7"/>
  </si>
  <si>
    <t>IFCファイル内の #511 等</t>
  </si>
  <si>
    <t>※IfcDistributionPortをIFC要素とは別に保存する。idはENMA内部ID、ifc_step_idはIFCファイル内のSTEP IDとし区別する。</t>
  </si>
  <si>
    <t>※Port単位の径・流れ方向等を保持し、継手・レジューサ・T等の接続解析に利用する。</t>
  </si>
  <si>
    <t>※要素同士ではなくPort同士の接続関係を保存する。接続要素は ifc_ports.ifc_element_id を経由して取得し、重複保持しない。</t>
  </si>
  <si>
    <t>※source は IFCからの取得情報が入る</t>
    <rPh sb="16" eb="18">
      <t>シュトク</t>
    </rPh>
    <rPh sb="18" eb="20">
      <t>ジョウホウ</t>
    </rPh>
    <phoneticPr fontId="7"/>
  </si>
  <si>
    <t>　</t>
    <phoneticPr fontId="7"/>
  </si>
  <si>
    <t>document_number</t>
  </si>
  <si>
    <t>文書番号</t>
    <phoneticPr fontId="7"/>
  </si>
  <si>
    <t>(例)MLIT_MEP_STD_2025</t>
  </si>
  <si>
    <t>(例)STANDARD_SPECIFICATION</t>
  </si>
  <si>
    <t>(例)公共建築工事標準仕様書(機械設備工事編)</t>
  </si>
  <si>
    <t>(例)国土交通省大臣官房官庁営繕部</t>
  </si>
  <si>
    <t>(例)(原典記載の文書番号)</t>
  </si>
  <si>
    <t>(例)2025</t>
  </si>
  <si>
    <t>(例)令和7年版</t>
  </si>
  <si>
    <t>(例)(修補版の発行日)</t>
  </si>
  <si>
    <t>(例)修補版</t>
  </si>
  <si>
    <t>(例)国土交通省公式URL</t>
  </si>
  <si>
    <t>(例)SHA-256等</t>
  </si>
  <si>
    <t>(例)001967513.pdf</t>
  </si>
  <si>
    <t>制定・発行主体</t>
  </si>
  <si>
    <t>issuer</t>
    <phoneticPr fontId="7"/>
  </si>
  <si>
    <t>S10-02</t>
  </si>
  <si>
    <t>standard_provisions</t>
  </si>
  <si>
    <t>基準規定</t>
  </si>
  <si>
    <t>基準規定ID</t>
  </si>
  <si>
    <t>(例)R7修補版</t>
  </si>
  <si>
    <t>provision_code</t>
  </si>
  <si>
    <t>規定コード</t>
  </si>
  <si>
    <t>(例)TABLE_2_3_7</t>
  </si>
  <si>
    <t>provision_type</t>
  </si>
  <si>
    <t>規定種別</t>
  </si>
  <si>
    <t>(例)TABLE / SECTION / PARAGRAPH</t>
  </si>
  <si>
    <t>section_no</t>
  </si>
  <si>
    <t>節番号</t>
  </si>
  <si>
    <t>(例)2.3など</t>
  </si>
  <si>
    <t>table_no</t>
  </si>
  <si>
    <t>表番号</t>
  </si>
  <si>
    <t>(例)表2.3.7</t>
  </si>
  <si>
    <t>規定名称</t>
  </si>
  <si>
    <t>(例)保温材の厚さ</t>
  </si>
  <si>
    <t>(例)PDFページ等</t>
  </si>
  <si>
    <t>source_text</t>
  </si>
  <si>
    <t>原典記載内容</t>
  </si>
  <si>
    <t>(例)原典の文章・表の説明</t>
  </si>
  <si>
    <t>exception_text</t>
  </si>
  <si>
    <t>例外・特記事項</t>
  </si>
  <si>
    <t>(例)寒冷地等の場合は特記による旨</t>
  </si>
  <si>
    <t>S10-03</t>
  </si>
  <si>
    <t>structured_specification_rules</t>
  </si>
  <si>
    <t>構造化仕様規則</t>
  </si>
  <si>
    <t>構造化仕様規則ID</t>
  </si>
  <si>
    <t>standard_provision_id</t>
  </si>
  <si>
    <t>standard_provisions.id</t>
  </si>
  <si>
    <t>sequence_no</t>
  </si>
  <si>
    <t>明細順序</t>
  </si>
  <si>
    <t>(例)原典表の順序</t>
  </si>
  <si>
    <t>rule_category</t>
  </si>
  <si>
    <t>規則区分</t>
  </si>
  <si>
    <t>(例)PIPE_MATERIAL / INSULATION_THICKNESS</t>
  </si>
  <si>
    <t>適用対象</t>
  </si>
  <si>
    <t>(例)冷温水管</t>
  </si>
  <si>
    <t>condition_1</t>
  </si>
  <si>
    <t>条件1</t>
  </si>
  <si>
    <t>(例)保温種別Ⅲ</t>
  </si>
  <si>
    <t>condition_2</t>
  </si>
  <si>
    <t>条件2</t>
  </si>
  <si>
    <t>(例)保温材ア</t>
  </si>
  <si>
    <t>condition_3</t>
  </si>
  <si>
    <t>条件3</t>
  </si>
  <si>
    <t>(例)呼び径50A</t>
  </si>
  <si>
    <t>result_value</t>
  </si>
  <si>
    <t>規定値</t>
  </si>
  <si>
    <t>(例)40</t>
  </si>
  <si>
    <t>result_unit</t>
  </si>
  <si>
    <t>規定値単位</t>
  </si>
  <si>
    <t>(例)mm</t>
  </si>
  <si>
    <t>source_cell_reference</t>
  </si>
  <si>
    <t>原典セル参照</t>
  </si>
  <si>
    <t>(例)表中の行・列など</t>
  </si>
  <si>
    <t>extraction_method</t>
  </si>
  <si>
    <t>抽出方法</t>
  </si>
  <si>
    <t>(例)MANUAL / AI / IMPORT</t>
  </si>
  <si>
    <t>(例)UNREVIEWED / REVIEWED</t>
  </si>
  <si>
    <t>抽出信頼度</t>
  </si>
  <si>
    <t>(例)AI抽出時 0.98 等</t>
  </si>
  <si>
    <t>S10-02</t>
    <phoneticPr fontId="7"/>
  </si>
  <si>
    <t>structured_specification_rules.standard_provision_id</t>
  </si>
  <si>
    <t>基準文書に記載された章・節・表・条項等の規定単位を管理し、構造化仕様規則の原典根拠を明確にする。</t>
  </si>
  <si>
    <t>原典の記載内容、参照位置、例外・特記事項を保持し、積算結果から原典まで遡って確認できるトレーサビリティを確保する。</t>
  </si>
  <si>
    <t>※基準文書そのものはS10-01 standard_documents で管理し、本テーブルではその文書内の章・節・表・条項等を規定単位として管理する。</t>
  </si>
  <si>
    <t>※原典の記載内容を忠実に保持し、ENMAによる解釈・判定結果とは分離する。</t>
  </si>
  <si>
    <t>※表形式の規定等から抽出した機械判定可能な明細はS10-03 structured_specification_rules で管理する。</t>
  </si>
  <si>
    <t>※特記等による例外適用の可能性が原典に明記されている場合は exception_text に保持し、案件適用仕様との関係を追跡可能とする。</t>
  </si>
  <si>
    <t>S10-02で管理する原典規定を、ENMAが検索・比較・判定に利用できる条件と規定値の組合せに構造化して管理する。</t>
  </si>
  <si>
    <t>原典表等の各明細を機械可読なレコードとして保持し、Engineering Ruleによる適用判定および積算結果の根拠追跡に利用する。</t>
  </si>
  <si>
    <t>※原典の文章・表そのものはS10-02 standard_provisions に保持し、本テーブルではその内容を機械処理可能な明細へ構造化する。</t>
  </si>
  <si>
    <t>※1件の基準規定から複数の構造化仕様規則が生成される1対多の関係を基本とする。</t>
  </si>
  <si>
    <t>※原典表との対応を sequence_no、source_cell_reference 等で追跡可能とし、</t>
  </si>
  <si>
    <t>抽出方法・確認状態・信頼度を保持することで、AI・手入力・インポートによる構造化と技術者確認を区別する。</t>
  </si>
  <si>
    <t>※条件項目はPoC段階では condition_1～condition_3 とし、実データ検証により条件数・種類が増加した場合は</t>
  </si>
  <si>
    <t>条件テーブルへの分離を検討する。</t>
  </si>
  <si>
    <t>ifc_elements</t>
  </si>
  <si>
    <t>work_locations</t>
  </si>
  <si>
    <t>出版・配布者</t>
  </si>
  <si>
    <t>standard_provisions.standard_document_id</t>
  </si>
  <si>
    <t>specification_set_items.standard_document_id</t>
  </si>
  <si>
    <t>国交省標準仕様書、積算基準、JIS等の基準文書とその版・発行情報・原典情報を管理し、</t>
    <phoneticPr fontId="7"/>
  </si>
  <si>
    <t>各規定および仕様セットの原典を特定可能にする親テーブル。</t>
  </si>
  <si>
    <t>※TABLE_2_3_7 は同じ標準仕様書の中では一意にしたいので、将来的には、</t>
  </si>
  <si>
    <t>UNIQUE(standard_document_id, provision_code)を検討する</t>
  </si>
  <si>
    <t>MLIT_SPEC / MLIT_ESTIMATION / JIS / SHASE / JWWA / PROJECT_SPEC</t>
  </si>
  <si>
    <t>※result_value が必須ではないのは、将来「適用不可」「特記による」のような数値以外の規則も入ってくる可能性があるから</t>
    <phoneticPr fontId="7"/>
  </si>
  <si>
    <t>複数の基準文書を、特定の目的・年度・適用条件に応じて一つの仕様体系として組み合わせて管理する。</t>
  </si>
  <si>
    <t>案件ごとに適用する基準文書群とその優先関係を再現可能にする。</t>
  </si>
  <si>
    <t>specification_set_items.specification_set_id</t>
  </si>
  <si>
    <t>project_specifications.specification_set_id</t>
  </si>
  <si>
    <t>仕様セットを構成する基準文書と、その適用範囲・優先順位・適用区分を管理する。</t>
  </si>
  <si>
    <t>複数の原典を組み合わせた場合の採用関係および優先関係を明確にする。</t>
  </si>
  <si>
    <t>案件ごとに採用する仕様セットを確定し、積算時に適用した基準文書群およびその版を再現可能にする。</t>
  </si>
  <si>
    <t>常に最新版を参照するのではなく、案件ごとの適用仕様を履歴として保持する。</t>
  </si>
  <si>
    <t>※標準仕様書に「特記による」等の例外規定がある場合、案件固有の特記仕様によって標準仕様が変更される可能性がある。</t>
    <phoneticPr fontId="7"/>
  </si>
  <si>
    <t>※S30-01では案件が採用する仕様セットを管理し、個別規定の上書きが必要となる場合は案件仕様上書きテーブルの追加を検討する。</t>
    <phoneticPr fontId="7"/>
  </si>
  <si>
    <t>I20-01</t>
  </si>
  <si>
    <t>I10-01</t>
  </si>
  <si>
    <t>I10-01</t>
    <phoneticPr fontId="7"/>
  </si>
  <si>
    <t>I10-02</t>
    <phoneticPr fontId="7"/>
  </si>
  <si>
    <t>inference_results</t>
  </si>
  <si>
    <t>推論結果</t>
  </si>
  <si>
    <t>rule_evaluations</t>
  </si>
  <si>
    <t>ルール評価履歴</t>
  </si>
  <si>
    <t>I20-01</t>
    <phoneticPr fontId="7"/>
  </si>
  <si>
    <t>どの案件か</t>
  </si>
  <si>
    <t>Pへの逆引き(例)#511に対応するP30-01 ID</t>
  </si>
  <si>
    <t>quantity_type</t>
  </si>
  <si>
    <t>算出項目種別</t>
  </si>
  <si>
    <t>VARCHAR</t>
  </si>
  <si>
    <t>何を算出したか　(例)INSULATION_THICKNESS</t>
    <rPh sb="9" eb="10">
      <t>レイ</t>
    </rPh>
    <phoneticPr fontId="11"/>
  </si>
  <si>
    <t>算出値</t>
  </si>
  <si>
    <t>DECIMAL</t>
  </si>
  <si>
    <t>結果　(例)40</t>
  </si>
  <si>
    <t>単位</t>
  </si>
  <si>
    <t>単位　(例)mm</t>
    <rPh sb="4" eb="5">
      <t>レイ</t>
    </rPh>
    <phoneticPr fontId="11"/>
  </si>
  <si>
    <t>rule_id</t>
  </si>
  <si>
    <t>適用ルールID</t>
  </si>
  <si>
    <t>insulation_rules.id</t>
  </si>
  <si>
    <t>Rへの逆引き</t>
  </si>
  <si>
    <t>project_specification_id</t>
  </si>
  <si>
    <t>Sへの逆引き　(例)S30-01 ID</t>
  </si>
  <si>
    <t>decision_status</t>
  </si>
  <si>
    <t>判定状態</t>
  </si>
  <si>
    <t>確定(DETERMINED)・推定・要確認など</t>
  </si>
  <si>
    <t>decision_reason</t>
  </si>
  <si>
    <t>判定理由</t>
  </si>
  <si>
    <t>人間が読める説明</t>
  </si>
  <si>
    <t>※human_review_idは確認後にFK</t>
  </si>
  <si>
    <t>※previous_inference_idは自己FK</t>
  </si>
  <si>
    <t>推論結果ID</t>
  </si>
  <si>
    <t>ENMA内部ID、自動採番</t>
  </si>
  <si>
    <t>(例)1</t>
  </si>
  <si>
    <t>(例)#511のP30-01 ID</t>
  </si>
  <si>
    <t>inference_type</t>
  </si>
  <si>
    <t>推論種別</t>
  </si>
  <si>
    <t>VARCHAR(50)</t>
  </si>
  <si>
    <t>(例)WORK_LOCATION 等</t>
  </si>
  <si>
    <t>source_value</t>
  </si>
  <si>
    <t>推論前値</t>
  </si>
  <si>
    <t>(例)UNKNOWN 等。汎用性を優先</t>
  </si>
  <si>
    <t>inferred_value</t>
  </si>
  <si>
    <t>推論値</t>
  </si>
  <si>
    <t>(例)CEILING_VOID 等</t>
  </si>
  <si>
    <t>inference_method</t>
  </si>
  <si>
    <t>推論方法</t>
  </si>
  <si>
    <t>(例)SPATIAL_RELATIONSHIP 等</t>
  </si>
  <si>
    <t>evidence_json</t>
  </si>
  <si>
    <t>推論根拠</t>
  </si>
  <si>
    <t>JSON</t>
  </si>
  <si>
    <t>推論に使用した根拠情報(例)建築IFCとの空間関係</t>
  </si>
  <si>
    <t>DECIMAL(5,4)</t>
  </si>
  <si>
    <t>0.0000～1.0000を想定(例)0.85</t>
  </si>
  <si>
    <t>inference_status</t>
  </si>
  <si>
    <t>推論状態</t>
  </si>
  <si>
    <t>VARCHAR(30)</t>
  </si>
  <si>
    <t>(例)INFERRED, NEEDS_REVIEW 等</t>
  </si>
  <si>
    <t>previous_inference_id</t>
  </si>
  <si>
    <t>前回推論ID</t>
  </si>
  <si>
    <t>inference_results.id</t>
  </si>
  <si>
    <t>inferred_at</t>
  </si>
  <si>
    <t>推論日時</t>
  </si>
  <si>
    <t>推論を実行した日時</t>
  </si>
  <si>
    <t>ルール評価履歴ID</t>
  </si>
  <si>
    <t>対象案件</t>
  </si>
  <si>
    <t>#511を指す</t>
  </si>
  <si>
    <t>ルールカテゴリ</t>
  </si>
  <si>
    <t>INSULATION</t>
  </si>
  <si>
    <t>今回はinsulation_rulesの該当ID</t>
  </si>
  <si>
    <t>project_specifications.id</t>
  </si>
  <si>
    <t>どの案件仕様を使ったか</t>
  </si>
  <si>
    <t>evaluation_status</t>
  </si>
  <si>
    <t>評価状態</t>
  </si>
  <si>
    <t>MATCHED等</t>
  </si>
  <si>
    <t>input_snapshot_json</t>
  </si>
  <si>
    <t>評価入力スナップショット</t>
  </si>
  <si>
    <t>評価時の入力条件</t>
  </si>
  <si>
    <t>人が読める判定理由</t>
  </si>
  <si>
    <t>previous_evaluation_id</t>
  </si>
  <si>
    <t>前回評価ID</t>
  </si>
  <si>
    <t>rule_evaluations.id</t>
  </si>
  <si>
    <t>再評価時の履歴連結</t>
  </si>
  <si>
    <t>human_reviews.id</t>
  </si>
  <si>
    <t>evaluated_at</t>
  </si>
  <si>
    <t>評価日時</t>
  </si>
  <si>
    <t>実際に評価した日時</t>
  </si>
  <si>
    <t>現行運用との統一</t>
  </si>
  <si>
    <t>JSON</t>
    <phoneticPr fontId="7"/>
  </si>
  <si>
    <t>※rule_id は、</t>
  </si>
  <si>
    <t>rule_category = INSULATION → insulation_rules.id</t>
  </si>
  <si>
    <t>のように、将来カテゴリによって参照するRテーブルが変わる可能性があるため</t>
  </si>
  <si>
    <t>参照方式はR系ルール共通化検討後に確定。</t>
  </si>
  <si>
    <t>inference_result_id</t>
  </si>
  <si>
    <t>案件単位の追跡</t>
  </si>
  <si>
    <t>#511など</t>
  </si>
  <si>
    <t>推論に対する確認の場合</t>
  </si>
  <si>
    <t>rule_evaluation_id</t>
  </si>
  <si>
    <t>ルール評価ID</t>
  </si>
  <si>
    <t>ルール評価に対する確認にも拡張可能</t>
  </si>
  <si>
    <t>INFERENCE 等</t>
  </si>
  <si>
    <t>PENDING / CONFIRMED / CORRECTED 等</t>
  </si>
  <si>
    <t>確認前候補値</t>
  </si>
  <si>
    <t>ENMAが提示した値</t>
  </si>
  <si>
    <t>技術者確定値</t>
  </si>
  <si>
    <t>人間が採用・修正した値</t>
  </si>
  <si>
    <t>review_reason</t>
  </si>
  <si>
    <t>確認理由</t>
  </si>
  <si>
    <t>なぜ人手確認が必要になったか</t>
  </si>
  <si>
    <t>review_comment</t>
  </si>
  <si>
    <t>確認コメント</t>
  </si>
  <si>
    <t>技術者の判断根拠・コメント</t>
  </si>
  <si>
    <t>reviewed_by</t>
  </si>
  <si>
    <t>確認者</t>
  </si>
  <si>
    <t>未確認中はNULL</t>
  </si>
  <si>
    <t>previous_review_id</t>
  </si>
  <si>
    <t>前回確認ID</t>
  </si>
  <si>
    <t>再確認・訂正履歴</t>
  </si>
  <si>
    <t>※review_type は確認対象の種類を表す。</t>
  </si>
  <si>
    <t>INFERENCE：推論結果に対する技術者確認</t>
  </si>
  <si>
    <t>RULE_EVALUATION：ルール評価結果に対する技術者確認</t>
  </si>
  <si>
    <t>※推論内容の種類（WORK_LOCATION、PIPE_MATERIAL等）は inference_results.inference_type で管理する。</t>
  </si>
  <si>
    <t>汎用的な技術者確認履歴を管理する</t>
  </si>
  <si>
    <t>VARCHAR(100)</t>
  </si>
  <si>
    <t>誰が確認したか。将来ユーザーマスタ化可能</t>
    <rPh sb="0" eb="1">
      <t>ダレ</t>
    </rPh>
    <rPh sb="2" eb="4">
      <t>カクニン</t>
    </rPh>
    <phoneticPr fontId="7"/>
  </si>
  <si>
    <t>※reviewed_byは、将来ユーザーマスタを作ったら、</t>
  </si>
  <si>
    <t>reviewed_by_user_id → users.id　へ移行可能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</si>
</sst>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ont>
    <font>
      <sz val="22"/>
      <color theme="1"/>
      <name val="游ゴシック"/>
      <family val="3"/>
      <charset val="128"/>
    </font>
    <font>
      <sz val="11"/>
      <color theme="1"/>
      <name val="游ゴシック"/>
      <family val="3"/>
      <charset val="128"/>
    </font>
    <font>
      <b/>
      <sz val="12"/>
      <name val="ＭＳ Ｐゴシック"/>
      <family val="3"/>
      <charset val="128"/>
    </font>
    <font>
      <sz val="9"/>
      <color theme="1"/>
      <name val="游ゴシック"/>
      <family val="3"/>
      <charset val="128"/>
    </font>
    <font>
      <sz val="9"/>
      <color theme="1"/>
      <name val="游ゴシック"/>
      <family val="3"/>
      <charset val="128"/>
    </font>
    <font>
      <u/>
      <sz val="11"/>
      <color theme="10"/>
      <name val="游ゴシック"/>
      <family val="3"/>
      <charset val="128"/>
    </font>
    <font>
      <sz val="6"/>
      <name val="ＭＳ Ｐゴシック"/>
      <family val="3"/>
      <charset val="128"/>
    </font>
    <font>
      <sz val="11"/>
      <name val="游ゴシック"/>
      <family val="3"/>
      <charset val="128"/>
    </font>
    <font>
      <b/>
      <sz val="11"/>
      <color theme="0"/>
      <name val="Calibri"/>
      <family val="2"/>
      <charset val="128"/>
      <scheme val="minor"/>
    </font>
    <font>
      <b/>
      <sz val="11"/>
      <color theme="1"/>
      <name val="游ゴシック"/>
      <family val="3"/>
      <charset val="128"/>
    </font>
    <font>
      <u/>
      <sz val="11"/>
      <color theme="11"/>
      <name val="游ゴシック"/>
      <family val="3"/>
      <charset val="128"/>
    </font>
  </fonts>
  <fills count="3">
    <fill>
      <patternFill patternType="none"/>
    </fill>
    <fill>
      <patternFill patternType="gray125"/>
    </fill>
    <fill>
      <patternFill patternType="solid">
        <fgColor theme="0" tint="-0.14999847407452621"/>
        <bgColor indexed="65"/>
      </patternFill>
    </fill>
  </fills>
  <borders count="4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ck">
        <color auto="1"/>
      </left>
      <right style="thin">
        <color auto="1"/>
      </right>
      <top style="thick">
        <color auto="1"/>
      </top>
      <bottom style="thin">
        <color auto="1"/>
      </bottom>
      <diagonal/>
    </border>
    <border>
      <left style="thin">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n">
        <color auto="1"/>
      </left>
      <right style="thick">
        <color auto="1"/>
      </right>
      <top style="thin">
        <color auto="1"/>
      </top>
      <bottom style="thin">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style="thin">
        <color auto="1"/>
      </top>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right style="thin">
        <color auto="1"/>
      </right>
      <top style="thick">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style="thick">
        <color auto="1"/>
      </bottom>
      <diagonal/>
    </border>
    <border>
      <left style="thick">
        <color auto="1"/>
      </left>
      <right/>
      <top style="thick">
        <color auto="1"/>
      </top>
      <bottom style="thin">
        <color auto="1"/>
      </bottom>
      <diagonal/>
    </border>
    <border>
      <left style="thick">
        <color auto="1"/>
      </left>
      <right/>
      <top style="thin">
        <color auto="1"/>
      </top>
      <bottom style="thin">
        <color auto="1"/>
      </bottom>
      <diagonal/>
    </border>
    <border>
      <left style="thick">
        <color auto="1"/>
      </left>
      <right/>
      <top style="thin">
        <color auto="1"/>
      </top>
      <bottom style="thick">
        <color auto="1"/>
      </bottom>
      <diagonal/>
    </border>
    <border>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n">
        <color auto="1"/>
      </top>
      <bottom style="thick">
        <color auto="1"/>
      </bottom>
      <diagonal/>
    </border>
    <border>
      <left style="thin">
        <color auto="1"/>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right style="thick">
        <color auto="1"/>
      </right>
      <top style="thin">
        <color auto="1"/>
      </top>
      <bottom style="thin">
        <color auto="1"/>
      </bottom>
      <diagonal/>
    </border>
    <border>
      <left style="thin">
        <color auto="1"/>
      </left>
      <right style="thin">
        <color auto="1"/>
      </right>
      <top/>
      <bottom style="thin">
        <color auto="1"/>
      </bottom>
      <diagonal/>
    </border>
    <border>
      <left style="thick">
        <color auto="1"/>
      </left>
      <right/>
      <top style="thin">
        <color auto="1"/>
      </top>
      <bottom/>
      <diagonal/>
    </border>
    <border>
      <left style="thin">
        <color auto="1"/>
      </left>
      <right style="thin">
        <color auto="1"/>
      </right>
      <top style="thin">
        <color auto="1"/>
      </top>
      <bottom/>
      <diagonal/>
    </border>
    <border>
      <left/>
      <right style="thick">
        <color auto="1"/>
      </right>
      <top style="thin">
        <color auto="1"/>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ck">
        <color auto="1"/>
      </right>
      <top style="thin">
        <color auto="1"/>
      </top>
      <bottom/>
      <diagonal/>
    </border>
    <border>
      <left style="thick">
        <color auto="1"/>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93">
    <xf numFmtId="0" fontId="0" fillId="0" borderId="0" xfId="0">
      <alignment vertical="center"/>
    </xf>
    <xf numFmtId="0" fontId="0" fillId="0" borderId="2" xfId="0" applyBorder="1">
      <alignment vertical="center"/>
    </xf>
    <xf numFmtId="0" fontId="0" fillId="0" borderId="3" xfId="0" applyBorder="1">
      <alignment vertical="center"/>
    </xf>
    <xf numFmtId="0" fontId="0" fillId="0" borderId="1" xfId="0" applyBorder="1">
      <alignment vertical="center"/>
    </xf>
    <xf numFmtId="0" fontId="0" fillId="0" borderId="4" xfId="0" applyBorder="1">
      <alignment vertical="center"/>
    </xf>
    <xf numFmtId="0" fontId="0" fillId="0" borderId="5"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2" borderId="12" xfId="0" applyFill="1" applyBorder="1">
      <alignment vertical="center"/>
    </xf>
    <xf numFmtId="0" fontId="0" fillId="2" borderId="13" xfId="0" applyFill="1" applyBorder="1">
      <alignment vertical="center"/>
    </xf>
    <xf numFmtId="0" fontId="0" fillId="2" borderId="14" xfId="0" applyFill="1" applyBorder="1">
      <alignment vertical="center"/>
    </xf>
    <xf numFmtId="0" fontId="0" fillId="0" borderId="15" xfId="0" applyBorder="1">
      <alignment vertical="center"/>
    </xf>
    <xf numFmtId="0" fontId="0" fillId="0" borderId="16"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0" fillId="0" borderId="17" xfId="0" applyBorder="1">
      <alignment vertical="center"/>
    </xf>
    <xf numFmtId="0" fontId="0" fillId="0" borderId="21" xfId="0" applyBorder="1">
      <alignment vertical="center"/>
    </xf>
    <xf numFmtId="0" fontId="0" fillId="0" borderId="22" xfId="0" applyBorder="1">
      <alignment vertical="center"/>
    </xf>
    <xf numFmtId="0" fontId="1" fillId="0" borderId="0" xfId="0" applyFont="1" applyAlignment="1">
      <alignment horizontal="centerContinuous" vertical="center"/>
    </xf>
    <xf numFmtId="0" fontId="1" fillId="0" borderId="0" xfId="0" applyFont="1">
      <alignment vertical="center"/>
    </xf>
    <xf numFmtId="0" fontId="2" fillId="0" borderId="0" xfId="0" applyFont="1">
      <alignment vertical="center"/>
    </xf>
    <xf numFmtId="0" fontId="2" fillId="0" borderId="2" xfId="0" applyFont="1" applyBorder="1">
      <alignment vertical="center"/>
    </xf>
    <xf numFmtId="0" fontId="2" fillId="0" borderId="3" xfId="0" applyFont="1" applyBorder="1">
      <alignment vertical="center"/>
    </xf>
    <xf numFmtId="0" fontId="2" fillId="0" borderId="15" xfId="0" applyFont="1" applyBorder="1">
      <alignment vertical="center"/>
    </xf>
    <xf numFmtId="0" fontId="3" fillId="0" borderId="0" xfId="0" applyFont="1" applyAlignment="1">
      <alignment horizontal="center" vertical="center" wrapText="1"/>
    </xf>
    <xf numFmtId="0" fontId="3" fillId="0" borderId="0" xfId="0" applyFont="1" applyAlignment="1">
      <alignment horizontal="right" vertical="center" wrapText="1"/>
    </xf>
    <xf numFmtId="0" fontId="4" fillId="0" borderId="1" xfId="0" applyFont="1" applyBorder="1">
      <alignment vertical="center"/>
    </xf>
    <xf numFmtId="0" fontId="5" fillId="0" borderId="1" xfId="0" applyFont="1" applyBorder="1">
      <alignment vertical="center"/>
    </xf>
    <xf numFmtId="0" fontId="1" fillId="0" borderId="0" xfId="0" applyFont="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2" borderId="12" xfId="0" applyFill="1" applyBorder="1" applyAlignment="1">
      <alignment horizontal="center" vertical="center"/>
    </xf>
    <xf numFmtId="0" fontId="0" fillId="0" borderId="1" xfId="0" applyBorder="1" applyAlignment="1">
      <alignment horizontal="center" vertical="center"/>
    </xf>
    <xf numFmtId="0" fontId="0" fillId="0" borderId="9" xfId="0" applyBorder="1" applyAlignment="1">
      <alignment horizontal="center" vertical="center"/>
    </xf>
    <xf numFmtId="0" fontId="5" fillId="0" borderId="9" xfId="0" applyFont="1" applyBorder="1">
      <alignment vertical="center"/>
    </xf>
    <xf numFmtId="0" fontId="2" fillId="0" borderId="23" xfId="0" applyFont="1" applyBorder="1">
      <alignment vertical="center"/>
    </xf>
    <xf numFmtId="0" fontId="2" fillId="0" borderId="8" xfId="0" applyFont="1" applyBorder="1">
      <alignment vertical="center"/>
    </xf>
    <xf numFmtId="0" fontId="2" fillId="0" borderId="1" xfId="0" applyFont="1" applyBorder="1">
      <alignment vertical="center"/>
    </xf>
    <xf numFmtId="49" fontId="2" fillId="0" borderId="0" xfId="0" applyNumberFormat="1" applyFont="1">
      <alignment vertical="center"/>
    </xf>
    <xf numFmtId="0" fontId="5" fillId="0" borderId="0" xfId="0" applyFont="1">
      <alignment vertical="center"/>
    </xf>
    <xf numFmtId="0" fontId="2" fillId="0" borderId="1" xfId="0" applyFont="1" applyBorder="1" applyAlignment="1">
      <alignment horizontal="left" vertical="center"/>
    </xf>
    <xf numFmtId="0" fontId="6" fillId="0" borderId="0" xfId="1" applyBorder="1">
      <alignment vertical="center"/>
    </xf>
    <xf numFmtId="0" fontId="0" fillId="0" borderId="1" xfId="0" applyBorder="1" applyAlignment="1">
      <alignment horizontal="left" vertical="center"/>
    </xf>
    <xf numFmtId="0" fontId="2" fillId="0" borderId="5" xfId="0" applyFont="1" applyBorder="1">
      <alignment vertical="center"/>
    </xf>
    <xf numFmtId="0" fontId="6" fillId="0" borderId="24" xfId="1" applyBorder="1">
      <alignment vertical="center"/>
    </xf>
    <xf numFmtId="0" fontId="0" fillId="0" borderId="25" xfId="0" applyBorder="1" applyAlignment="1">
      <alignment horizontal="center" vertical="center"/>
    </xf>
    <xf numFmtId="0" fontId="0" fillId="0" borderId="26" xfId="0" applyBorder="1" applyAlignment="1">
      <alignment horizontal="center" vertical="center"/>
    </xf>
    <xf numFmtId="0" fontId="6" fillId="0" borderId="27" xfId="1" applyBorder="1">
      <alignment vertical="center"/>
    </xf>
    <xf numFmtId="0" fontId="0" fillId="0" borderId="28" xfId="0" applyBorder="1" applyAlignment="1">
      <alignment horizontal="center" vertical="center"/>
    </xf>
    <xf numFmtId="0" fontId="2" fillId="0" borderId="30" xfId="0" applyFont="1" applyBorder="1">
      <alignment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26" xfId="0" applyBorder="1">
      <alignment vertical="center"/>
    </xf>
    <xf numFmtId="0" fontId="0" fillId="0" borderId="28" xfId="0" applyBorder="1">
      <alignment vertical="center"/>
    </xf>
    <xf numFmtId="0" fontId="0" fillId="0" borderId="27" xfId="0" applyBorder="1">
      <alignment vertical="center"/>
    </xf>
    <xf numFmtId="0" fontId="0" fillId="0" borderId="29" xfId="0" applyBorder="1">
      <alignment vertical="center"/>
    </xf>
    <xf numFmtId="0" fontId="0" fillId="0" borderId="31" xfId="0" applyBorder="1">
      <alignment vertical="center"/>
    </xf>
    <xf numFmtId="0" fontId="8" fillId="0" borderId="24" xfId="1" applyFont="1" applyBorder="1">
      <alignment vertical="center"/>
    </xf>
    <xf numFmtId="0" fontId="8" fillId="0" borderId="27" xfId="1" applyFont="1" applyBorder="1">
      <alignment vertical="center"/>
    </xf>
    <xf numFmtId="0" fontId="8" fillId="0" borderId="29" xfId="1" applyFont="1" applyBorder="1">
      <alignment vertical="center"/>
    </xf>
    <xf numFmtId="0" fontId="2" fillId="0" borderId="1" xfId="0" applyFont="1" applyBorder="1" applyAlignment="1">
      <alignment horizontal="center" vertical="center"/>
    </xf>
    <xf numFmtId="0" fontId="2" fillId="0" borderId="18" xfId="0" applyFont="1" applyBorder="1">
      <alignment vertical="center"/>
    </xf>
    <xf numFmtId="0" fontId="0" fillId="0" borderId="32" xfId="0" applyBorder="1">
      <alignment vertical="center"/>
    </xf>
    <xf numFmtId="0" fontId="2" fillId="0" borderId="33" xfId="0" applyFont="1" applyBorder="1">
      <alignment vertical="center"/>
    </xf>
    <xf numFmtId="0" fontId="0" fillId="0" borderId="34" xfId="0" applyBorder="1">
      <alignment vertical="center"/>
    </xf>
    <xf numFmtId="0" fontId="0" fillId="0" borderId="35" xfId="0" applyBorder="1">
      <alignment vertical="center"/>
    </xf>
    <xf numFmtId="0" fontId="0" fillId="0" borderId="35" xfId="0" applyBorder="1" applyAlignment="1">
      <alignment horizontal="center" vertical="center"/>
    </xf>
    <xf numFmtId="0" fontId="5" fillId="0" borderId="35" xfId="0" applyFont="1" applyBorder="1">
      <alignment vertical="center"/>
    </xf>
    <xf numFmtId="0" fontId="0" fillId="0" borderId="36" xfId="0" applyBorder="1">
      <alignment vertical="center"/>
    </xf>
    <xf numFmtId="0" fontId="2" fillId="0" borderId="34" xfId="0" applyFont="1" applyBorder="1">
      <alignment vertical="center"/>
    </xf>
    <xf numFmtId="0" fontId="2" fillId="0" borderId="35" xfId="0" applyFont="1" applyBorder="1">
      <alignment vertical="center"/>
    </xf>
    <xf numFmtId="49" fontId="2" fillId="0" borderId="8" xfId="0" applyNumberFormat="1" applyFont="1" applyBorder="1">
      <alignment vertical="center"/>
    </xf>
    <xf numFmtId="0" fontId="2" fillId="0" borderId="22" xfId="0" applyFont="1" applyBorder="1">
      <alignment vertical="center"/>
    </xf>
    <xf numFmtId="0" fontId="2" fillId="0" borderId="37" xfId="0" applyFont="1" applyBorder="1">
      <alignment vertical="center"/>
    </xf>
    <xf numFmtId="0" fontId="2" fillId="0" borderId="16" xfId="0" applyFont="1" applyBorder="1">
      <alignment vertical="center"/>
    </xf>
    <xf numFmtId="0" fontId="2" fillId="0" borderId="20" xfId="0" applyFont="1" applyBorder="1">
      <alignment vertical="center"/>
    </xf>
    <xf numFmtId="0" fontId="2" fillId="0" borderId="32" xfId="0" applyFont="1" applyBorder="1">
      <alignment vertical="center"/>
    </xf>
    <xf numFmtId="0" fontId="2" fillId="0" borderId="25" xfId="0" applyFont="1" applyBorder="1">
      <alignment vertical="center"/>
    </xf>
    <xf numFmtId="0" fontId="2" fillId="0" borderId="9" xfId="0" applyFont="1" applyBorder="1" applyAlignment="1">
      <alignment horizontal="center" vertical="center"/>
    </xf>
    <xf numFmtId="0" fontId="0" fillId="0" borderId="38" xfId="0" applyBorder="1">
      <alignment vertical="center"/>
    </xf>
    <xf numFmtId="0" fontId="0" fillId="0" borderId="39" xfId="0" applyBorder="1">
      <alignment vertical="center"/>
    </xf>
    <xf numFmtId="0" fontId="2" fillId="0" borderId="40" xfId="0" applyFont="1" applyBorder="1">
      <alignment vertical="center"/>
    </xf>
    <xf numFmtId="0" fontId="10"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10" fillId="0" borderId="0" xfId="0" applyFont="1" applyAlignment="1">
      <alignment vertical="center" wrapText="1"/>
    </xf>
    <xf numFmtId="0" fontId="0" fillId="2" borderId="17" xfId="0" applyFill="1" applyBorder="1">
      <alignment vertical="center"/>
    </xf>
    <xf numFmtId="0" fontId="0" fillId="0" borderId="6" xfId="0" applyBorder="1">
      <alignment vertical="center"/>
    </xf>
    <xf numFmtId="0" fontId="0" fillId="0" borderId="14" xfId="0" applyBorder="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Q1380"/>
  <sheetViews>
    <sheetView tabSelected="1" view="pageBreakPreview" topLeftCell="A1151" zoomScaleNormal="130" zoomScaleSheetLayoutView="100" zoomScalePageLayoutView="115" workbookViewId="0">
      <selection activeCell="H1079" sqref="H1079"/>
    </sheetView>
  </sheetViews>
  <sheetFormatPr defaultRowHeight="18.75"/>
  <cols>
    <col min="1" max="1" width="3.5" customWidth="1"/>
    <col min="2" max="2" width="7" customWidth="1"/>
    <col min="3" max="3" width="14.5" customWidth="1"/>
    <col min="4" max="4" width="17" customWidth="1"/>
    <col min="5" max="5" width="15.375" customWidth="1"/>
    <col min="6" max="9" width="4.75" style="33" customWidth="1"/>
    <col min="10" max="10" width="11.5" customWidth="1"/>
    <col min="11" max="11" width="13.875" customWidth="1"/>
    <col min="12" max="12" width="37.875" customWidth="1"/>
    <col min="13" max="13" width="17.625" customWidth="1"/>
    <col min="15" max="15" width="26.125" customWidth="1"/>
    <col min="16" max="16" width="13.875" customWidth="1"/>
  </cols>
  <sheetData>
    <row r="2" spans="1:12" ht="30.75" customHeight="1">
      <c r="A2" s="22" t="s">
        <v>63</v>
      </c>
      <c r="B2" s="22"/>
      <c r="C2" s="22"/>
      <c r="D2" s="22"/>
      <c r="E2" s="22"/>
      <c r="F2" s="32"/>
      <c r="G2" s="32"/>
      <c r="H2" s="32"/>
      <c r="I2" s="32"/>
      <c r="J2" s="22"/>
      <c r="K2" s="22"/>
      <c r="L2" s="22"/>
    </row>
    <row r="3" spans="1:12" ht="17.25" customHeight="1">
      <c r="A3" s="22"/>
      <c r="B3" s="22"/>
      <c r="C3" s="22"/>
      <c r="D3" s="22"/>
      <c r="E3" s="22"/>
      <c r="F3" s="32"/>
      <c r="G3" s="32"/>
      <c r="H3" s="32"/>
      <c r="I3" s="32"/>
      <c r="J3" s="22"/>
      <c r="K3" s="22"/>
      <c r="L3" s="22"/>
    </row>
    <row r="4" spans="1:12" ht="17.25" customHeight="1">
      <c r="A4" s="22"/>
      <c r="B4" s="24" t="s">
        <v>53</v>
      </c>
      <c r="C4" s="22"/>
      <c r="D4" s="22"/>
      <c r="E4" s="22"/>
      <c r="F4" s="32"/>
      <c r="G4" s="32"/>
      <c r="H4" s="32"/>
      <c r="I4" s="32"/>
      <c r="J4" s="22"/>
      <c r="K4" s="22"/>
      <c r="L4" s="22"/>
    </row>
    <row r="5" spans="1:12" ht="17.25" customHeight="1">
      <c r="A5" s="22"/>
      <c r="B5" s="22"/>
      <c r="C5" s="24" t="s">
        <v>54</v>
      </c>
      <c r="D5" s="42" t="s">
        <v>64</v>
      </c>
      <c r="E5" s="24" t="s">
        <v>55</v>
      </c>
      <c r="F5" s="32"/>
      <c r="G5" s="32"/>
      <c r="H5" s="32"/>
      <c r="I5" s="32"/>
      <c r="J5" s="22"/>
      <c r="K5" s="22"/>
      <c r="L5" s="22"/>
    </row>
    <row r="6" spans="1:12" ht="17.25" customHeight="1">
      <c r="A6" s="22"/>
      <c r="B6" s="22"/>
      <c r="C6" s="24"/>
      <c r="D6" s="42"/>
      <c r="E6" s="24"/>
      <c r="F6" s="32"/>
      <c r="G6" s="32"/>
      <c r="H6" s="32"/>
      <c r="I6" s="32"/>
      <c r="J6" s="22"/>
      <c r="K6" s="22"/>
      <c r="L6" s="22"/>
    </row>
    <row r="7" spans="1:12" ht="17.25" customHeight="1">
      <c r="A7" s="22"/>
      <c r="B7" s="22"/>
      <c r="C7" s="24"/>
      <c r="D7" s="42"/>
      <c r="E7" s="24"/>
      <c r="F7" s="32"/>
      <c r="G7" s="32"/>
      <c r="H7" s="32"/>
      <c r="I7" s="32"/>
      <c r="J7" s="22"/>
      <c r="K7" s="22"/>
      <c r="L7" s="22"/>
    </row>
    <row r="8" spans="1:12" ht="17.25" customHeight="1">
      <c r="A8" s="22"/>
      <c r="B8" s="22"/>
      <c r="C8" s="24"/>
      <c r="D8" s="42"/>
      <c r="E8" s="24"/>
      <c r="F8" s="32"/>
      <c r="G8" s="32"/>
      <c r="H8" s="32"/>
      <c r="I8" s="32"/>
      <c r="J8" s="22"/>
      <c r="K8" s="22"/>
      <c r="L8" s="22"/>
    </row>
    <row r="9" spans="1:12" ht="17.25" customHeight="1">
      <c r="A9" s="22"/>
      <c r="B9" s="22"/>
      <c r="C9" s="24"/>
      <c r="D9" s="42"/>
      <c r="E9" s="24"/>
      <c r="F9" s="32"/>
      <c r="G9" s="32"/>
      <c r="H9" s="32"/>
      <c r="I9" s="32"/>
      <c r="J9" s="22"/>
      <c r="K9" s="22"/>
      <c r="L9" s="22"/>
    </row>
    <row r="10" spans="1:12" ht="17.25" customHeight="1">
      <c r="A10" s="22"/>
      <c r="B10" s="22"/>
      <c r="C10" s="24"/>
      <c r="D10" s="42"/>
      <c r="E10" s="24"/>
      <c r="F10" s="32"/>
      <c r="G10" s="32"/>
      <c r="H10" s="32"/>
      <c r="I10" s="32"/>
      <c r="J10" s="22"/>
      <c r="K10" s="22"/>
      <c r="L10" s="22"/>
    </row>
    <row r="11" spans="1:12" ht="17.25" customHeight="1">
      <c r="A11" s="22"/>
      <c r="B11" s="22"/>
      <c r="C11" s="24"/>
      <c r="D11" s="42"/>
      <c r="E11" s="24"/>
      <c r="F11" s="32"/>
      <c r="G11" s="32"/>
      <c r="H11" s="32"/>
      <c r="I11" s="32"/>
      <c r="J11" s="22"/>
      <c r="K11" s="22"/>
      <c r="L11" s="22"/>
    </row>
    <row r="12" spans="1:12" ht="17.25" customHeight="1">
      <c r="A12" s="22"/>
      <c r="B12" s="22"/>
      <c r="C12" s="24"/>
      <c r="D12" s="42"/>
      <c r="E12" s="24"/>
      <c r="F12" s="32"/>
      <c r="G12" s="32"/>
      <c r="H12" s="32"/>
      <c r="I12" s="32"/>
      <c r="J12" s="22"/>
      <c r="K12" s="22"/>
      <c r="L12" s="22"/>
    </row>
    <row r="13" spans="1:12" ht="17.25" customHeight="1">
      <c r="A13" s="22"/>
      <c r="B13" s="22"/>
      <c r="C13" s="24"/>
      <c r="D13" s="42"/>
      <c r="E13" s="24"/>
      <c r="F13" s="32"/>
      <c r="G13" s="32"/>
      <c r="H13" s="32"/>
      <c r="I13" s="32"/>
      <c r="J13" s="22"/>
      <c r="K13" s="22"/>
      <c r="L13" s="22"/>
    </row>
    <row r="14" spans="1:12" ht="17.25" customHeight="1">
      <c r="A14" s="22"/>
      <c r="B14" s="22"/>
      <c r="C14" s="24"/>
      <c r="D14" s="42"/>
      <c r="E14" s="24"/>
      <c r="F14" s="32"/>
      <c r="G14" s="32"/>
      <c r="H14" s="32"/>
      <c r="I14" s="32"/>
      <c r="J14" s="22"/>
      <c r="K14" s="22"/>
      <c r="L14" s="22"/>
    </row>
    <row r="15" spans="1:12" ht="17.25" customHeight="1">
      <c r="A15" s="22"/>
      <c r="B15" s="22"/>
      <c r="C15" s="24"/>
      <c r="D15" s="42"/>
      <c r="E15" s="24"/>
      <c r="F15" s="32"/>
      <c r="G15" s="32"/>
      <c r="H15" s="32"/>
      <c r="I15" s="32"/>
      <c r="J15" s="22"/>
      <c r="K15" s="22"/>
      <c r="L15" s="22"/>
    </row>
    <row r="16" spans="1:12" ht="17.25" customHeight="1">
      <c r="A16" s="22"/>
      <c r="B16" s="22"/>
      <c r="C16" s="24"/>
      <c r="D16" s="42"/>
      <c r="E16" s="24"/>
      <c r="F16" s="32"/>
      <c r="G16" s="32"/>
      <c r="H16" s="32"/>
      <c r="I16" s="32"/>
      <c r="J16" s="22"/>
      <c r="K16" s="22"/>
      <c r="L16" s="22"/>
    </row>
    <row r="17" spans="1:16" ht="17.25" customHeight="1">
      <c r="A17" s="22"/>
      <c r="B17" s="22"/>
      <c r="C17" s="24"/>
      <c r="D17" s="42"/>
      <c r="E17" s="24"/>
      <c r="F17" s="32"/>
      <c r="G17" s="32"/>
      <c r="H17" s="32"/>
      <c r="I17" s="32"/>
      <c r="J17" s="22"/>
      <c r="K17" s="22"/>
      <c r="L17" s="22"/>
    </row>
    <row r="18" spans="1:16" ht="17.25" customHeight="1">
      <c r="A18" s="22"/>
      <c r="B18" s="22"/>
      <c r="C18" s="24"/>
      <c r="D18" s="42"/>
      <c r="E18" s="24"/>
      <c r="F18" s="32"/>
      <c r="G18" s="32"/>
      <c r="H18" s="32"/>
      <c r="I18" s="32"/>
      <c r="J18" s="22"/>
      <c r="K18" s="22"/>
      <c r="L18" s="22"/>
    </row>
    <row r="19" spans="1:16" ht="17.25" customHeight="1">
      <c r="A19" s="22"/>
      <c r="B19" s="22"/>
      <c r="C19" s="24"/>
      <c r="D19" s="42"/>
      <c r="E19" s="24"/>
      <c r="F19" s="32"/>
      <c r="G19" s="32"/>
      <c r="H19" s="32"/>
      <c r="I19" s="32"/>
      <c r="J19" s="22"/>
      <c r="K19" s="22"/>
      <c r="L19" s="22"/>
    </row>
    <row r="20" spans="1:16" ht="17.25" customHeight="1">
      <c r="A20" s="22"/>
      <c r="B20" s="22"/>
      <c r="C20" s="24"/>
      <c r="D20" s="42"/>
      <c r="E20" s="24"/>
      <c r="F20" s="32"/>
      <c r="G20" s="32"/>
      <c r="H20" s="32"/>
      <c r="I20" s="32"/>
      <c r="J20" s="22"/>
      <c r="K20" s="22"/>
      <c r="L20" s="22"/>
    </row>
    <row r="21" spans="1:16" ht="21.75" customHeight="1" thickBot="1">
      <c r="A21" s="23"/>
      <c r="B21" s="24" t="s">
        <v>52</v>
      </c>
      <c r="C21" s="24"/>
      <c r="D21" s="23"/>
      <c r="E21" s="23"/>
      <c r="F21" s="32"/>
      <c r="G21" s="32"/>
      <c r="H21" s="32"/>
      <c r="I21" s="32"/>
      <c r="J21" s="23"/>
      <c r="K21" s="23"/>
      <c r="L21" s="23"/>
    </row>
    <row r="22" spans="1:16">
      <c r="A22">
        <v>1</v>
      </c>
      <c r="B22" s="61" t="s">
        <v>282</v>
      </c>
      <c r="C22" s="48" t="str">
        <f>HYPERLINK("#'テーブル設計'!B84","projects")</f>
        <v>projects</v>
      </c>
      <c r="D22" s="56"/>
      <c r="E22" s="81" t="s">
        <v>392</v>
      </c>
      <c r="F22" s="49"/>
      <c r="G22" s="49"/>
      <c r="H22" s="49"/>
      <c r="I22" s="50"/>
      <c r="O22" t="s">
        <v>66</v>
      </c>
      <c r="P22">
        <v>84</v>
      </c>
    </row>
    <row r="23" spans="1:16">
      <c r="A23">
        <v>2</v>
      </c>
      <c r="B23" s="62" t="s">
        <v>283</v>
      </c>
      <c r="C23" s="51" t="str">
        <f>HYPERLINK("#'テーブル設計'!B124","calculation_runs")</f>
        <v>calculation_runs</v>
      </c>
      <c r="D23" s="57"/>
      <c r="E23" s="26" t="s">
        <v>393</v>
      </c>
      <c r="F23" s="34"/>
      <c r="G23" s="34"/>
      <c r="H23" s="34"/>
      <c r="I23" s="52"/>
      <c r="O23" t="s">
        <v>84</v>
      </c>
      <c r="P23">
        <v>124</v>
      </c>
    </row>
    <row r="24" spans="1:16">
      <c r="A24">
        <v>3</v>
      </c>
      <c r="B24" s="62" t="s">
        <v>284</v>
      </c>
      <c r="C24" s="51" t="str">
        <f>HYPERLINK("#'テーブル設計'!B164","ifc_elements")</f>
        <v>ifc_elements</v>
      </c>
      <c r="D24" s="57"/>
      <c r="E24" s="26" t="s">
        <v>394</v>
      </c>
      <c r="F24" s="34"/>
      <c r="G24" s="34"/>
      <c r="H24" s="34"/>
      <c r="I24" s="52"/>
      <c r="O24" t="s">
        <v>593</v>
      </c>
      <c r="P24">
        <v>164</v>
      </c>
    </row>
    <row r="25" spans="1:16">
      <c r="A25">
        <v>4</v>
      </c>
      <c r="B25" s="62" t="s">
        <v>286</v>
      </c>
      <c r="C25" s="51" t="str">
        <f>HYPERLINK("#'テーブル設計'!B214","element_properties")</f>
        <v>element_properties</v>
      </c>
      <c r="D25" s="57"/>
      <c r="E25" s="26" t="s">
        <v>395</v>
      </c>
      <c r="F25" s="34"/>
      <c r="G25" s="34"/>
      <c r="H25" s="34"/>
      <c r="I25" s="52"/>
      <c r="O25" t="s">
        <v>287</v>
      </c>
      <c r="P25">
        <v>214</v>
      </c>
    </row>
    <row r="26" spans="1:16">
      <c r="A26">
        <v>5</v>
      </c>
      <c r="B26" s="62" t="s">
        <v>452</v>
      </c>
      <c r="C26" s="51" t="str">
        <f>HYPERLINK("#'テーブル設計'!B249","ifc_ports")</f>
        <v>ifc_ports</v>
      </c>
      <c r="D26" s="57"/>
      <c r="E26" s="26" t="s">
        <v>449</v>
      </c>
      <c r="F26" s="34"/>
      <c r="G26" s="34"/>
      <c r="H26" s="34"/>
      <c r="I26" s="52"/>
      <c r="O26" t="s">
        <v>450</v>
      </c>
      <c r="P26">
        <v>249</v>
      </c>
    </row>
    <row r="27" spans="1:16">
      <c r="A27">
        <v>6</v>
      </c>
      <c r="B27" s="62" t="s">
        <v>453</v>
      </c>
      <c r="C27" s="51" t="str">
        <f>HYPERLINK("#'テーブル設計'!B293","ifc_port_connections")</f>
        <v>ifc_port_connections</v>
      </c>
      <c r="D27" s="57"/>
      <c r="E27" s="26" t="s">
        <v>448</v>
      </c>
      <c r="F27" s="34"/>
      <c r="G27" s="34"/>
      <c r="H27" s="34"/>
      <c r="I27" s="52"/>
      <c r="O27" t="s">
        <v>451</v>
      </c>
      <c r="P27">
        <v>293</v>
      </c>
    </row>
    <row r="28" spans="1:16">
      <c r="A28">
        <v>7</v>
      </c>
      <c r="B28" s="62" t="s">
        <v>290</v>
      </c>
      <c r="C28" s="51" t="str">
        <f>HYPERLINK("#'テーブル設計'!B332","standard_documents")</f>
        <v>standard_documents</v>
      </c>
      <c r="D28" s="57"/>
      <c r="E28" s="26" t="s">
        <v>407</v>
      </c>
      <c r="F28" s="34"/>
      <c r="G28" s="34"/>
      <c r="H28" s="34"/>
      <c r="I28" s="52"/>
      <c r="O28" t="s">
        <v>68</v>
      </c>
      <c r="P28">
        <v>332</v>
      </c>
    </row>
    <row r="29" spans="1:16">
      <c r="A29">
        <v>8</v>
      </c>
      <c r="B29" s="62" t="s">
        <v>577</v>
      </c>
      <c r="C29" s="51" t="str">
        <f>HYPERLINK("#'テーブル設計'!B381","standard_provisions")</f>
        <v>standard_provisions</v>
      </c>
      <c r="D29" s="57"/>
      <c r="E29" s="26" t="s">
        <v>515</v>
      </c>
      <c r="F29" s="34"/>
      <c r="G29" s="34"/>
      <c r="H29" s="34"/>
      <c r="I29" s="52"/>
      <c r="O29" t="s">
        <v>514</v>
      </c>
      <c r="P29">
        <v>381</v>
      </c>
    </row>
    <row r="30" spans="1:16">
      <c r="A30">
        <v>9</v>
      </c>
      <c r="B30" s="62" t="s">
        <v>539</v>
      </c>
      <c r="C30" s="51" t="str">
        <f>HYPERLINK("#'テーブル設計'!B424","structured_specification_rules")</f>
        <v>structured_specification_rules</v>
      </c>
      <c r="D30" s="57"/>
      <c r="E30" s="26" t="s">
        <v>541</v>
      </c>
      <c r="F30" s="34"/>
      <c r="G30" s="34"/>
      <c r="H30" s="34"/>
      <c r="I30" s="52"/>
      <c r="O30" t="s">
        <v>540</v>
      </c>
      <c r="P30">
        <v>424</v>
      </c>
    </row>
    <row r="31" spans="1:16">
      <c r="A31">
        <v>10</v>
      </c>
      <c r="B31" s="62" t="s">
        <v>291</v>
      </c>
      <c r="C31" s="51" t="str">
        <f>HYPERLINK("#'テーブル設計'!B471","specification_sets")</f>
        <v>specification_sets</v>
      </c>
      <c r="D31" s="57"/>
      <c r="E31" s="2" t="s">
        <v>376</v>
      </c>
      <c r="F31" s="34"/>
      <c r="G31" s="34"/>
      <c r="H31" s="34"/>
      <c r="I31" s="52"/>
      <c r="O31" t="s">
        <v>292</v>
      </c>
      <c r="P31">
        <v>471</v>
      </c>
    </row>
    <row r="32" spans="1:16">
      <c r="A32">
        <v>11</v>
      </c>
      <c r="B32" s="62" t="s">
        <v>397</v>
      </c>
      <c r="C32" s="51" t="str">
        <f>HYPERLINK("#'テーブル設計'!B511","specification_set_items")</f>
        <v>specification_set_items</v>
      </c>
      <c r="D32" s="57"/>
      <c r="E32" s="2" t="s">
        <v>398</v>
      </c>
      <c r="F32" s="34"/>
      <c r="G32" s="34"/>
      <c r="H32" s="34"/>
      <c r="I32" s="52"/>
      <c r="O32" t="s">
        <v>401</v>
      </c>
      <c r="P32">
        <v>511</v>
      </c>
    </row>
    <row r="33" spans="1:16">
      <c r="A33">
        <v>12</v>
      </c>
      <c r="B33" s="62" t="s">
        <v>293</v>
      </c>
      <c r="C33" s="51" t="str">
        <f>HYPERLINK("#'テーブル設計'!B551","project_specifications")</f>
        <v>project_specifications</v>
      </c>
      <c r="D33" s="57"/>
      <c r="E33" s="26" t="s">
        <v>400</v>
      </c>
      <c r="F33" s="34"/>
      <c r="G33" s="34"/>
      <c r="H33" s="34"/>
      <c r="I33" s="52"/>
      <c r="O33" t="s">
        <v>404</v>
      </c>
      <c r="P33">
        <v>551</v>
      </c>
    </row>
    <row r="34" spans="1:16">
      <c r="A34">
        <v>13</v>
      </c>
      <c r="B34" s="62" t="s">
        <v>294</v>
      </c>
      <c r="C34" s="51" t="str">
        <f>HYPERLINK("#'テーブル設計'!B589","fluids")</f>
        <v>fluids</v>
      </c>
      <c r="D34" s="57"/>
      <c r="E34" s="2" t="s">
        <v>70</v>
      </c>
      <c r="F34" s="34"/>
      <c r="G34" s="34"/>
      <c r="H34" s="34"/>
      <c r="I34" s="52"/>
      <c r="O34" t="s">
        <v>69</v>
      </c>
      <c r="P34">
        <v>589</v>
      </c>
    </row>
    <row r="35" spans="1:16">
      <c r="A35">
        <v>14</v>
      </c>
      <c r="B35" s="62" t="s">
        <v>295</v>
      </c>
      <c r="C35" s="51" t="str">
        <f>HYPERLINK("#'テーブル設計'!B629","work_locations")</f>
        <v>work_locations</v>
      </c>
      <c r="D35" s="57"/>
      <c r="E35" s="26" t="s">
        <v>296</v>
      </c>
      <c r="F35" s="34"/>
      <c r="G35" s="34"/>
      <c r="H35" s="34"/>
      <c r="I35" s="52"/>
      <c r="O35" t="s">
        <v>594</v>
      </c>
      <c r="P35">
        <v>629</v>
      </c>
    </row>
    <row r="36" spans="1:16">
      <c r="A36">
        <v>15</v>
      </c>
      <c r="B36" s="62" t="s">
        <v>297</v>
      </c>
      <c r="C36" s="51" t="str">
        <f>HYPERLINK("#'テーブル設計'!B667","pipe_materials")</f>
        <v>pipe_materials</v>
      </c>
      <c r="D36" s="57"/>
      <c r="E36" s="2" t="s">
        <v>72</v>
      </c>
      <c r="F36" s="34"/>
      <c r="G36" s="34"/>
      <c r="H36" s="34"/>
      <c r="I36" s="52"/>
      <c r="O36" t="s">
        <v>71</v>
      </c>
      <c r="P36">
        <v>667</v>
      </c>
    </row>
    <row r="37" spans="1:16">
      <c r="A37">
        <v>16</v>
      </c>
      <c r="B37" s="62" t="s">
        <v>298</v>
      </c>
      <c r="C37" s="51" t="str">
        <f>HYPERLINK("#'テーブル設計'!B706","pipe_standards")</f>
        <v>pipe_standards</v>
      </c>
      <c r="D37" s="57"/>
      <c r="E37" s="2" t="s">
        <v>74</v>
      </c>
      <c r="F37" s="34"/>
      <c r="G37" s="34"/>
      <c r="H37" s="34"/>
      <c r="I37" s="52"/>
      <c r="O37" t="s">
        <v>73</v>
      </c>
      <c r="P37">
        <v>706</v>
      </c>
    </row>
    <row r="38" spans="1:16">
      <c r="A38">
        <v>17</v>
      </c>
      <c r="B38" s="62" t="s">
        <v>299</v>
      </c>
      <c r="C38" s="51" t="str">
        <f>HYPERLINK("#'テーブル設計'!B746","pipe_sizes")</f>
        <v>pipe_sizes</v>
      </c>
      <c r="D38" s="57"/>
      <c r="E38" s="2" t="s">
        <v>76</v>
      </c>
      <c r="F38" s="34"/>
      <c r="G38" s="34"/>
      <c r="H38" s="34"/>
      <c r="I38" s="52"/>
      <c r="O38" t="s">
        <v>75</v>
      </c>
      <c r="P38">
        <v>746</v>
      </c>
    </row>
    <row r="39" spans="1:16">
      <c r="A39">
        <v>18</v>
      </c>
      <c r="B39" s="62" t="s">
        <v>300</v>
      </c>
      <c r="C39" s="51" t="str">
        <f>HYPERLINK("#'テーブル設計'!B790","insulation_types")</f>
        <v>insulation_types</v>
      </c>
      <c r="D39" s="57"/>
      <c r="E39" s="2" t="s">
        <v>78</v>
      </c>
      <c r="F39" s="34"/>
      <c r="G39" s="34"/>
      <c r="H39" s="34"/>
      <c r="I39" s="52"/>
      <c r="O39" t="s">
        <v>77</v>
      </c>
      <c r="P39">
        <v>790</v>
      </c>
    </row>
    <row r="40" spans="1:16">
      <c r="A40">
        <v>19</v>
      </c>
      <c r="B40" s="62" t="s">
        <v>301</v>
      </c>
      <c r="C40" s="51" t="str">
        <f>HYPERLINK("#'テーブル設計'!B828","painting_types")</f>
        <v>painting_types</v>
      </c>
      <c r="D40" s="57"/>
      <c r="E40" s="2" t="s">
        <v>80</v>
      </c>
      <c r="F40" s="34"/>
      <c r="G40" s="34"/>
      <c r="H40" s="34"/>
      <c r="I40" s="52"/>
      <c r="O40" t="s">
        <v>79</v>
      </c>
      <c r="P40">
        <v>828</v>
      </c>
    </row>
    <row r="41" spans="1:16">
      <c r="A41">
        <v>20</v>
      </c>
      <c r="B41" s="62" t="s">
        <v>302</v>
      </c>
      <c r="C41" s="51" t="str">
        <f>HYPERLINK("#'テーブル設計'!B866","worker_types")</f>
        <v>worker_types</v>
      </c>
      <c r="D41" s="57"/>
      <c r="E41" s="26" t="s">
        <v>363</v>
      </c>
      <c r="F41" s="34"/>
      <c r="G41" s="34"/>
      <c r="H41" s="34"/>
      <c r="I41" s="52"/>
      <c r="O41" t="s">
        <v>83</v>
      </c>
      <c r="P41">
        <v>866</v>
      </c>
    </row>
    <row r="42" spans="1:16">
      <c r="A42">
        <v>21</v>
      </c>
      <c r="B42" s="62" t="s">
        <v>303</v>
      </c>
      <c r="C42" s="58" t="str">
        <f>HYPERLINK("#'テーブル設計'!B901","insulation_rules")</f>
        <v>insulation_rules</v>
      </c>
      <c r="D42" s="57"/>
      <c r="E42" s="2" t="s">
        <v>304</v>
      </c>
      <c r="F42" s="34"/>
      <c r="G42" s="34"/>
      <c r="H42" s="34"/>
      <c r="I42" s="52"/>
      <c r="O42" t="s">
        <v>81</v>
      </c>
      <c r="P42">
        <v>901</v>
      </c>
    </row>
    <row r="43" spans="1:16">
      <c r="A43">
        <v>22</v>
      </c>
      <c r="B43" s="62" t="s">
        <v>305</v>
      </c>
      <c r="C43" s="58" t="str">
        <f>HYPERLINK("#'テーブル設計'!B947","painting_rules")</f>
        <v>painting_rules</v>
      </c>
      <c r="D43" s="57"/>
      <c r="E43" s="2" t="s">
        <v>306</v>
      </c>
      <c r="F43" s="34"/>
      <c r="G43" s="34"/>
      <c r="H43" s="34"/>
      <c r="I43" s="52"/>
      <c r="O43" t="s">
        <v>82</v>
      </c>
      <c r="P43">
        <v>947</v>
      </c>
    </row>
    <row r="44" spans="1:16">
      <c r="A44">
        <v>23</v>
      </c>
      <c r="B44" s="62" t="s">
        <v>307</v>
      </c>
      <c r="C44" s="58" t="str">
        <f>HYPERLINK("#'テーブル設計'!B990","labor_productivity_rules")</f>
        <v>labor_productivity_rules</v>
      </c>
      <c r="D44" s="57"/>
      <c r="E44" s="2" t="s">
        <v>309</v>
      </c>
      <c r="F44" s="34"/>
      <c r="G44" s="34"/>
      <c r="H44" s="34"/>
      <c r="I44" s="52"/>
      <c r="O44" t="s">
        <v>308</v>
      </c>
      <c r="P44">
        <v>990</v>
      </c>
    </row>
    <row r="45" spans="1:16">
      <c r="A45">
        <v>24</v>
      </c>
      <c r="B45" s="62" t="s">
        <v>616</v>
      </c>
      <c r="C45" s="58" t="str">
        <f>HYPERLINK("#'テーブル設計'!B1039","inference_results")</f>
        <v>inference_results</v>
      </c>
      <c r="D45" s="57"/>
      <c r="E45" s="2" t="s">
        <v>619</v>
      </c>
      <c r="F45" s="34"/>
      <c r="G45" s="34"/>
      <c r="H45" s="34"/>
      <c r="I45" s="52"/>
      <c r="O45" t="s">
        <v>618</v>
      </c>
      <c r="P45">
        <v>1039</v>
      </c>
    </row>
    <row r="46" spans="1:16">
      <c r="A46">
        <v>25</v>
      </c>
      <c r="B46" s="62" t="s">
        <v>617</v>
      </c>
      <c r="C46" s="58" t="str">
        <f>HYPERLINK("#'テーブル設計'!B1086","rule_evaluations")</f>
        <v>rule_evaluations</v>
      </c>
      <c r="D46" s="57"/>
      <c r="E46" s="2" t="s">
        <v>621</v>
      </c>
      <c r="F46" s="34"/>
      <c r="G46" s="34"/>
      <c r="H46" s="34"/>
      <c r="I46" s="52"/>
      <c r="O46" t="s">
        <v>620</v>
      </c>
      <c r="P46">
        <v>1086</v>
      </c>
    </row>
    <row r="47" spans="1:16">
      <c r="A47">
        <v>26</v>
      </c>
      <c r="B47" s="62" t="s">
        <v>614</v>
      </c>
      <c r="C47" s="51" t="str">
        <f>HYPERLINK("#'テーブル設計'!B1132","human_reviews")</f>
        <v>human_reviews</v>
      </c>
      <c r="D47" s="57"/>
      <c r="E47" s="26" t="s">
        <v>396</v>
      </c>
      <c r="F47" s="34"/>
      <c r="G47" s="34"/>
      <c r="H47" s="34"/>
      <c r="I47" s="52"/>
      <c r="O47" t="s">
        <v>289</v>
      </c>
      <c r="P47">
        <v>1132</v>
      </c>
    </row>
    <row r="48" spans="1:16">
      <c r="A48">
        <v>27</v>
      </c>
      <c r="B48" s="62" t="s">
        <v>310</v>
      </c>
      <c r="C48" s="58" t="str">
        <f>HYPERLINK("#'テーブル設計'!B1176","element_quantity_results")</f>
        <v>element_quantity_results</v>
      </c>
      <c r="D48" s="57"/>
      <c r="E48" s="2" t="s">
        <v>312</v>
      </c>
      <c r="F48" s="34"/>
      <c r="G48" s="34"/>
      <c r="H48" s="34"/>
      <c r="I48" s="52"/>
      <c r="O48" t="s">
        <v>311</v>
      </c>
      <c r="P48">
        <v>1176</v>
      </c>
    </row>
    <row r="49" spans="1:16">
      <c r="A49">
        <v>28</v>
      </c>
      <c r="B49" s="62" t="s">
        <v>313</v>
      </c>
      <c r="C49" s="58" t="str">
        <f>HYPERLINK("#'テーブル設計'!B1219","quantity_summaries")</f>
        <v>quantity_summaries</v>
      </c>
      <c r="D49" s="57"/>
      <c r="E49" s="26" t="s">
        <v>315</v>
      </c>
      <c r="F49" s="34"/>
      <c r="G49" s="34"/>
      <c r="H49" s="34"/>
      <c r="I49" s="52"/>
      <c r="O49" t="s">
        <v>314</v>
      </c>
      <c r="P49">
        <v>1219</v>
      </c>
    </row>
    <row r="50" spans="1:16" ht="19.5" thickBot="1">
      <c r="A50">
        <v>29</v>
      </c>
      <c r="B50" s="63" t="s">
        <v>316</v>
      </c>
      <c r="C50" s="59" t="str">
        <f>HYPERLINK("#'テーブル設計'!B1273","calculation_evidence")</f>
        <v>calculation_evidence</v>
      </c>
      <c r="D50" s="60"/>
      <c r="E50" s="53" t="s">
        <v>318</v>
      </c>
      <c r="F50" s="54"/>
      <c r="G50" s="54"/>
      <c r="H50" s="54"/>
      <c r="I50" s="55"/>
      <c r="O50" t="s">
        <v>317</v>
      </c>
      <c r="P50">
        <v>1273</v>
      </c>
    </row>
    <row r="51" spans="1:16">
      <c r="B51" s="45"/>
    </row>
    <row r="52" spans="1:16" ht="14.25" customHeight="1">
      <c r="A52" s="23"/>
      <c r="B52" s="24" t="s">
        <v>51</v>
      </c>
      <c r="C52" s="24"/>
      <c r="D52" s="23"/>
      <c r="E52" s="23"/>
      <c r="F52" s="32"/>
      <c r="G52" s="32"/>
      <c r="H52" s="32"/>
      <c r="I52" s="32"/>
      <c r="J52" s="23"/>
      <c r="K52" s="23"/>
      <c r="L52" s="23"/>
    </row>
    <row r="53" spans="1:16" ht="14.25" customHeight="1">
      <c r="A53" s="23"/>
      <c r="B53" s="25" t="s">
        <v>0</v>
      </c>
      <c r="C53" s="27"/>
      <c r="D53" s="26" t="s">
        <v>1</v>
      </c>
      <c r="E53" s="27"/>
      <c r="F53" s="32"/>
      <c r="G53" s="32"/>
      <c r="H53" s="32"/>
      <c r="I53" s="32"/>
      <c r="J53" s="23"/>
      <c r="K53" s="23"/>
      <c r="L53" s="23"/>
    </row>
    <row r="54" spans="1:16" ht="14.25" customHeight="1">
      <c r="A54" s="23"/>
      <c r="B54" s="25" t="s">
        <v>2</v>
      </c>
      <c r="C54" s="27"/>
      <c r="D54" s="26"/>
      <c r="E54" s="27"/>
      <c r="F54" s="32"/>
      <c r="G54" s="32"/>
      <c r="H54" s="32"/>
      <c r="I54" s="32"/>
      <c r="J54" s="23"/>
      <c r="K54" s="23"/>
      <c r="L54" s="23"/>
    </row>
    <row r="55" spans="1:16" ht="14.25" customHeight="1">
      <c r="A55" s="23"/>
      <c r="B55" s="25" t="s">
        <v>3</v>
      </c>
      <c r="C55" s="27"/>
      <c r="D55" s="26"/>
      <c r="E55" s="27"/>
      <c r="F55" s="32"/>
      <c r="G55" s="32"/>
      <c r="H55" s="32"/>
      <c r="I55" s="32"/>
      <c r="J55" s="23"/>
      <c r="K55" s="23"/>
      <c r="L55" s="23"/>
    </row>
    <row r="56" spans="1:16" ht="14.25" customHeight="1">
      <c r="A56" s="23"/>
      <c r="B56" s="25" t="s">
        <v>4</v>
      </c>
      <c r="C56" s="27"/>
      <c r="D56" s="26"/>
      <c r="E56" s="27"/>
      <c r="F56" s="32"/>
      <c r="G56" s="32"/>
      <c r="H56" s="32"/>
      <c r="I56" s="32"/>
      <c r="J56" s="23"/>
      <c r="K56" s="23"/>
      <c r="L56" s="23"/>
    </row>
    <row r="57" spans="1:16" ht="14.25" customHeight="1">
      <c r="A57" s="22"/>
      <c r="B57" s="25" t="s">
        <v>5</v>
      </c>
      <c r="C57" s="27"/>
      <c r="D57" s="26" t="s">
        <v>6</v>
      </c>
      <c r="E57" s="27"/>
      <c r="F57" s="32"/>
      <c r="G57" s="32"/>
      <c r="H57" s="32"/>
      <c r="I57" s="32"/>
      <c r="J57" s="22"/>
      <c r="K57" s="22"/>
      <c r="L57" s="22"/>
    </row>
    <row r="58" spans="1:16" ht="14.25" customHeight="1">
      <c r="A58" s="22"/>
      <c r="B58" s="25" t="s">
        <v>7</v>
      </c>
      <c r="C58" s="27"/>
      <c r="D58" s="26" t="s">
        <v>8</v>
      </c>
      <c r="E58" s="27"/>
      <c r="F58" s="32"/>
      <c r="G58" s="32"/>
      <c r="H58" s="32"/>
      <c r="I58" s="32"/>
      <c r="J58" s="22"/>
      <c r="K58" s="22"/>
      <c r="L58" s="22"/>
    </row>
    <row r="59" spans="1:16" ht="14.25" customHeight="1">
      <c r="A59" s="22"/>
      <c r="B59" s="25" t="s">
        <v>9</v>
      </c>
      <c r="C59" s="27"/>
      <c r="D59" s="26" t="s">
        <v>10</v>
      </c>
      <c r="E59" s="27"/>
      <c r="F59" s="32"/>
      <c r="G59" s="32"/>
      <c r="H59" s="32"/>
      <c r="I59" s="32"/>
      <c r="J59" s="22"/>
      <c r="K59" s="22"/>
      <c r="L59" s="22"/>
    </row>
    <row r="60" spans="1:16" ht="14.25" customHeight="1">
      <c r="A60" s="22"/>
      <c r="B60" s="25" t="s">
        <v>11</v>
      </c>
      <c r="C60" s="27"/>
      <c r="D60" s="26" t="s">
        <v>12</v>
      </c>
      <c r="E60" s="27"/>
      <c r="F60" s="39" t="s">
        <v>48</v>
      </c>
      <c r="G60" s="32"/>
      <c r="H60" s="32"/>
      <c r="I60" s="32"/>
      <c r="J60" s="22"/>
      <c r="K60" s="22"/>
      <c r="L60" s="22"/>
    </row>
    <row r="61" spans="1:16" ht="14.25" customHeight="1">
      <c r="A61" s="22"/>
      <c r="B61" s="25" t="s">
        <v>13</v>
      </c>
      <c r="C61" s="27"/>
      <c r="D61" s="26" t="s">
        <v>14</v>
      </c>
      <c r="E61" s="27"/>
      <c r="F61" s="32"/>
      <c r="G61" s="32"/>
      <c r="H61" s="32"/>
      <c r="I61" s="32"/>
      <c r="J61" s="22"/>
      <c r="K61" s="22"/>
      <c r="L61" s="22"/>
    </row>
    <row r="62" spans="1:16" ht="14.25" customHeight="1">
      <c r="A62" s="22"/>
      <c r="B62" s="25" t="s">
        <v>15</v>
      </c>
      <c r="C62" s="27"/>
      <c r="D62" s="26" t="s">
        <v>16</v>
      </c>
      <c r="E62" s="27"/>
      <c r="F62" s="32"/>
      <c r="G62" s="32"/>
      <c r="H62" s="32"/>
      <c r="I62" s="32"/>
      <c r="J62" s="22"/>
      <c r="K62" s="22"/>
      <c r="L62" s="22"/>
    </row>
    <row r="63" spans="1:16" ht="14.25" customHeight="1">
      <c r="A63" s="22"/>
      <c r="B63" s="25" t="s">
        <v>17</v>
      </c>
      <c r="C63" s="27"/>
      <c r="D63" s="26" t="s">
        <v>18</v>
      </c>
      <c r="E63" s="27"/>
      <c r="F63" s="32"/>
      <c r="G63" s="32"/>
      <c r="H63" s="32"/>
      <c r="I63" s="32"/>
      <c r="J63" s="22"/>
      <c r="K63" s="22"/>
      <c r="L63" s="22"/>
    </row>
    <row r="64" spans="1:16" ht="14.25" customHeight="1">
      <c r="A64" s="22"/>
      <c r="B64" s="24"/>
      <c r="C64" s="24"/>
      <c r="D64" s="24"/>
      <c r="E64" s="24"/>
      <c r="F64" s="32"/>
      <c r="G64" s="32"/>
      <c r="H64" s="32"/>
      <c r="I64" s="32"/>
      <c r="J64" s="22"/>
      <c r="K64" s="22"/>
      <c r="L64" s="22"/>
    </row>
    <row r="65" spans="1:12" ht="14.25" customHeight="1">
      <c r="A65" s="22"/>
      <c r="B65" s="24" t="s">
        <v>19</v>
      </c>
      <c r="C65" s="24"/>
      <c r="D65" s="24"/>
      <c r="E65" s="24"/>
      <c r="F65" s="32"/>
      <c r="G65" s="32"/>
      <c r="H65" s="32"/>
      <c r="I65" s="32"/>
      <c r="J65" s="22"/>
      <c r="K65" s="22"/>
      <c r="L65" s="22"/>
    </row>
    <row r="66" spans="1:12" ht="14.25" customHeight="1">
      <c r="A66" s="22"/>
      <c r="B66" s="24" t="s">
        <v>20</v>
      </c>
      <c r="C66" s="24"/>
      <c r="D66" s="24"/>
      <c r="E66" s="24"/>
      <c r="F66" s="32"/>
      <c r="G66" s="32"/>
      <c r="H66" s="32"/>
      <c r="I66" s="32"/>
      <c r="J66" s="22"/>
      <c r="K66" s="22"/>
      <c r="L66" s="22"/>
    </row>
    <row r="67" spans="1:12" ht="14.25" customHeight="1">
      <c r="A67" s="22"/>
      <c r="B67" s="24"/>
      <c r="C67" s="24"/>
      <c r="D67" s="24"/>
      <c r="E67" s="24"/>
      <c r="F67" s="32"/>
      <c r="G67" s="32"/>
      <c r="H67" s="32"/>
      <c r="I67" s="32"/>
      <c r="J67" s="22"/>
      <c r="K67" s="22"/>
      <c r="L67" s="22"/>
    </row>
    <row r="68" spans="1:12" ht="14.25" customHeight="1">
      <c r="A68" s="22"/>
      <c r="B68" s="24"/>
      <c r="C68" s="24"/>
      <c r="D68" s="24"/>
      <c r="E68" s="24"/>
      <c r="F68" s="32"/>
      <c r="G68" s="32"/>
      <c r="H68" s="32"/>
      <c r="I68" s="32"/>
      <c r="J68" s="22"/>
      <c r="K68" s="22"/>
      <c r="L68" s="22"/>
    </row>
    <row r="69" spans="1:12" ht="14.25" customHeight="1">
      <c r="A69" s="22"/>
      <c r="B69" s="24"/>
      <c r="C69" s="24"/>
      <c r="D69" s="24"/>
      <c r="E69" s="24"/>
      <c r="F69" s="32"/>
      <c r="G69" s="32"/>
      <c r="H69" s="32"/>
      <c r="I69" s="32"/>
      <c r="J69" s="22"/>
      <c r="K69" s="22"/>
      <c r="L69" s="22"/>
    </row>
    <row r="70" spans="1:12" ht="14.25" customHeight="1">
      <c r="A70" s="22"/>
      <c r="B70" s="24"/>
      <c r="C70" s="24"/>
      <c r="D70" s="24"/>
      <c r="E70" s="24"/>
      <c r="F70" s="32"/>
      <c r="G70" s="32"/>
      <c r="H70" s="32"/>
      <c r="I70" s="32"/>
      <c r="J70" s="22"/>
      <c r="K70" s="22"/>
      <c r="L70" s="22"/>
    </row>
    <row r="71" spans="1:12" ht="14.25" customHeight="1">
      <c r="A71" s="22"/>
      <c r="B71" s="24"/>
      <c r="C71" s="24"/>
      <c r="D71" s="24"/>
      <c r="E71" s="24"/>
      <c r="F71" s="32"/>
      <c r="G71" s="32"/>
      <c r="H71" s="32"/>
      <c r="I71" s="32"/>
      <c r="J71" s="22"/>
      <c r="K71" s="22"/>
      <c r="L71" s="22"/>
    </row>
    <row r="72" spans="1:12" ht="14.25" customHeight="1">
      <c r="A72" s="22"/>
      <c r="B72" s="24"/>
      <c r="C72" s="24"/>
      <c r="D72" s="24"/>
      <c r="E72" s="24"/>
      <c r="F72" s="32"/>
      <c r="G72" s="32"/>
      <c r="H72" s="32"/>
      <c r="I72" s="32"/>
      <c r="J72" s="22"/>
      <c r="K72" s="22"/>
      <c r="L72" s="22"/>
    </row>
    <row r="73" spans="1:12" ht="14.25" customHeight="1">
      <c r="A73" s="22"/>
      <c r="B73" s="24"/>
      <c r="C73" s="24"/>
      <c r="D73" s="24"/>
      <c r="E73" s="24"/>
      <c r="F73" s="32"/>
      <c r="G73" s="32"/>
      <c r="H73" s="32"/>
      <c r="I73" s="32"/>
      <c r="J73" s="22"/>
      <c r="K73" s="22"/>
      <c r="L73" s="22"/>
    </row>
    <row r="74" spans="1:12" ht="14.25" customHeight="1">
      <c r="A74" s="22"/>
      <c r="B74" s="24"/>
      <c r="C74" s="24"/>
      <c r="D74" s="24"/>
      <c r="E74" s="24"/>
      <c r="F74" s="32"/>
      <c r="G74" s="32"/>
      <c r="H74" s="32"/>
      <c r="I74" s="32"/>
      <c r="J74" s="22"/>
      <c r="K74" s="22"/>
      <c r="L74" s="22"/>
    </row>
    <row r="75" spans="1:12" ht="14.25" customHeight="1">
      <c r="A75" s="22"/>
      <c r="B75" s="24"/>
      <c r="C75" s="24"/>
      <c r="D75" s="24"/>
      <c r="E75" s="24"/>
      <c r="F75" s="32"/>
      <c r="G75" s="32"/>
      <c r="H75" s="32"/>
      <c r="I75" s="32"/>
      <c r="J75" s="22"/>
      <c r="K75" s="22"/>
      <c r="L75" s="22"/>
    </row>
    <row r="76" spans="1:12" ht="14.25" customHeight="1">
      <c r="A76" s="22"/>
      <c r="B76" s="24"/>
      <c r="C76" s="24"/>
      <c r="D76" s="24"/>
      <c r="E76" s="24"/>
      <c r="F76" s="32"/>
      <c r="G76" s="32"/>
      <c r="H76" s="32"/>
      <c r="I76" s="32"/>
      <c r="J76" s="22"/>
      <c r="K76" s="22"/>
      <c r="L76" s="22"/>
    </row>
    <row r="77" spans="1:12" ht="14.25" customHeight="1">
      <c r="A77" s="22"/>
      <c r="B77" s="24"/>
      <c r="C77" s="24"/>
      <c r="D77" s="24"/>
      <c r="E77" s="24"/>
      <c r="F77" s="32"/>
      <c r="G77" s="32"/>
      <c r="H77" s="32"/>
      <c r="I77" s="32"/>
      <c r="J77" s="22"/>
      <c r="K77" s="22"/>
      <c r="L77" s="22"/>
    </row>
    <row r="78" spans="1:12" ht="14.25" customHeight="1">
      <c r="A78" s="22"/>
      <c r="B78" s="24"/>
      <c r="C78" s="24"/>
      <c r="D78" s="24"/>
      <c r="E78" s="24"/>
      <c r="F78" s="32"/>
      <c r="G78" s="32"/>
      <c r="H78" s="32"/>
      <c r="I78" s="32"/>
      <c r="J78" s="22"/>
      <c r="K78" s="22"/>
      <c r="L78" s="22"/>
    </row>
    <row r="79" spans="1:12" ht="14.25" customHeight="1">
      <c r="A79" s="22"/>
      <c r="B79" s="24"/>
      <c r="C79" s="24"/>
      <c r="D79" s="24"/>
      <c r="E79" s="24"/>
      <c r="F79" s="32"/>
      <c r="G79" s="32"/>
      <c r="H79" s="32"/>
      <c r="I79" s="32"/>
      <c r="J79" s="22"/>
      <c r="K79" s="22"/>
      <c r="L79" s="22"/>
    </row>
    <row r="80" spans="1:12" ht="14.25" customHeight="1">
      <c r="A80" s="22"/>
      <c r="B80" s="24"/>
      <c r="C80" s="24"/>
      <c r="D80" s="24"/>
      <c r="E80" s="24"/>
      <c r="F80" s="32"/>
      <c r="G80" s="32"/>
      <c r="H80" s="32"/>
      <c r="I80" s="32"/>
      <c r="J80" s="22"/>
      <c r="K80" s="22"/>
      <c r="L80" s="22"/>
    </row>
    <row r="81" spans="1:14" ht="14.25" customHeight="1">
      <c r="A81" s="22"/>
      <c r="B81" s="24"/>
      <c r="C81" s="24"/>
      <c r="D81" s="24"/>
      <c r="E81" s="24"/>
      <c r="F81" s="32"/>
      <c r="G81" s="32"/>
      <c r="H81" s="32"/>
      <c r="I81" s="32"/>
      <c r="J81" s="22"/>
      <c r="K81" s="22"/>
      <c r="L81" s="22"/>
    </row>
    <row r="82" spans="1:14" ht="13.5" customHeight="1">
      <c r="A82" s="22"/>
      <c r="B82" s="24"/>
      <c r="C82" s="24"/>
      <c r="D82" s="24"/>
      <c r="E82" s="24"/>
      <c r="F82" s="32"/>
      <c r="G82" s="32"/>
      <c r="H82" s="32"/>
      <c r="I82" s="32"/>
      <c r="J82" s="22"/>
      <c r="K82" s="22"/>
      <c r="L82" s="22"/>
    </row>
    <row r="83" spans="1:14" ht="19.5" thickBot="1"/>
    <row r="84" spans="1:14" ht="19.5" thickTop="1">
      <c r="B84" s="19" t="s">
        <v>21</v>
      </c>
      <c r="C84" s="4"/>
      <c r="D84" s="5" t="s">
        <v>66</v>
      </c>
      <c r="E84" s="6"/>
      <c r="F84" t="s">
        <v>282</v>
      </c>
      <c r="M84" t="str">
        <f>+D84</f>
        <v>projects</v>
      </c>
      <c r="N84">
        <v>84</v>
      </c>
    </row>
    <row r="85" spans="1:14" ht="19.5" thickBot="1">
      <c r="B85" s="17" t="s">
        <v>22</v>
      </c>
      <c r="C85" s="15"/>
      <c r="D85" s="21" t="s">
        <v>67</v>
      </c>
      <c r="E85" s="20"/>
    </row>
    <row r="86" spans="1:14" ht="19.5" thickTop="1"/>
    <row r="87" spans="1:14">
      <c r="B87" s="1" t="s">
        <v>23</v>
      </c>
      <c r="C87" s="14"/>
    </row>
    <row r="88" spans="1:14">
      <c r="C88" s="24" t="s">
        <v>85</v>
      </c>
    </row>
    <row r="92" spans="1:14">
      <c r="B92" s="1" t="s">
        <v>24</v>
      </c>
      <c r="C92" s="14"/>
    </row>
    <row r="93" spans="1:14">
      <c r="C93" t="s">
        <v>25</v>
      </c>
    </row>
    <row r="95" spans="1:14">
      <c r="B95" s="1" t="s">
        <v>26</v>
      </c>
      <c r="C95" s="14"/>
    </row>
    <row r="96" spans="1:14">
      <c r="C96" s="10"/>
    </row>
    <row r="101" spans="1:17">
      <c r="B101" s="1" t="s">
        <v>49</v>
      </c>
      <c r="C101" s="14"/>
    </row>
    <row r="102" spans="1:17">
      <c r="C102" s="24" t="s">
        <v>65</v>
      </c>
    </row>
    <row r="109" spans="1:17" ht="19.5" thickBot="1"/>
    <row r="110" spans="1:17" ht="19.5" thickTop="1">
      <c r="B110" s="90" t="s">
        <v>2</v>
      </c>
      <c r="C110" s="91"/>
      <c r="D110" s="11" t="s">
        <v>3</v>
      </c>
      <c r="E110" s="13" t="s">
        <v>4</v>
      </c>
      <c r="F110" s="35" t="s">
        <v>5</v>
      </c>
      <c r="G110" s="35" t="s">
        <v>7</v>
      </c>
      <c r="H110" s="35" t="s">
        <v>27</v>
      </c>
      <c r="I110" s="35" t="s">
        <v>47</v>
      </c>
      <c r="J110" s="11" t="s">
        <v>14</v>
      </c>
      <c r="K110" s="11" t="s">
        <v>15</v>
      </c>
      <c r="L110" s="12" t="s">
        <v>17</v>
      </c>
      <c r="O110" s="29"/>
      <c r="P110" s="29"/>
      <c r="Q110" s="28"/>
    </row>
    <row r="111" spans="1:17">
      <c r="A111">
        <v>1</v>
      </c>
      <c r="B111" s="16" t="s">
        <v>25</v>
      </c>
      <c r="C111" s="2"/>
      <c r="D111" s="41" t="s">
        <v>101</v>
      </c>
      <c r="E111" s="14" t="s">
        <v>29</v>
      </c>
      <c r="F111" s="3" t="s">
        <v>30</v>
      </c>
      <c r="G111" s="36"/>
      <c r="H111" s="36" t="s">
        <v>30</v>
      </c>
      <c r="I111" s="36" t="s">
        <v>30</v>
      </c>
      <c r="J111" s="36"/>
      <c r="K111" s="31"/>
      <c r="L111" s="7" t="s">
        <v>219</v>
      </c>
    </row>
    <row r="112" spans="1:17">
      <c r="A112">
        <v>2</v>
      </c>
      <c r="B112" s="16" t="s">
        <v>86</v>
      </c>
      <c r="C112" s="2"/>
      <c r="D112" s="3" t="s">
        <v>87</v>
      </c>
      <c r="E112" s="14" t="s">
        <v>31</v>
      </c>
      <c r="F112" s="3"/>
      <c r="G112" s="36"/>
      <c r="H112" s="36" t="s">
        <v>30</v>
      </c>
      <c r="I112" s="36"/>
      <c r="J112" s="36"/>
      <c r="K112" s="31"/>
      <c r="L112" s="7"/>
    </row>
    <row r="113" spans="1:14">
      <c r="A113">
        <v>3</v>
      </c>
      <c r="B113" s="16" t="s">
        <v>32</v>
      </c>
      <c r="C113" s="2"/>
      <c r="D113" s="3" t="s">
        <v>88</v>
      </c>
      <c r="E113" s="14" t="s">
        <v>31</v>
      </c>
      <c r="F113" s="3"/>
      <c r="G113" s="36"/>
      <c r="H113" s="36" t="s">
        <v>30</v>
      </c>
      <c r="I113" s="36"/>
      <c r="J113" s="36"/>
      <c r="K113" s="31"/>
      <c r="L113" s="7"/>
    </row>
    <row r="114" spans="1:14">
      <c r="A114">
        <v>4</v>
      </c>
      <c r="B114" s="16" t="s">
        <v>89</v>
      </c>
      <c r="C114" s="2"/>
      <c r="D114" s="3" t="s">
        <v>90</v>
      </c>
      <c r="E114" s="14" t="s">
        <v>31</v>
      </c>
      <c r="F114" s="3"/>
      <c r="G114" s="36"/>
      <c r="H114" s="36"/>
      <c r="I114" s="36"/>
      <c r="J114" s="36"/>
      <c r="K114" s="31"/>
      <c r="L114" s="7"/>
    </row>
    <row r="115" spans="1:14">
      <c r="A115">
        <v>5</v>
      </c>
      <c r="B115" s="16" t="s">
        <v>91</v>
      </c>
      <c r="C115" s="2"/>
      <c r="D115" s="3" t="s">
        <v>92</v>
      </c>
      <c r="E115" s="14" t="s">
        <v>33</v>
      </c>
      <c r="F115" s="3"/>
      <c r="G115" s="36"/>
      <c r="H115" s="36"/>
      <c r="I115" s="36"/>
      <c r="J115" s="36"/>
      <c r="K115" s="31"/>
      <c r="L115" s="7"/>
    </row>
    <row r="116" spans="1:14">
      <c r="A116">
        <v>6</v>
      </c>
      <c r="B116" s="16" t="s">
        <v>93</v>
      </c>
      <c r="C116" s="2"/>
      <c r="D116" s="3" t="s">
        <v>94</v>
      </c>
      <c r="E116" s="14" t="s">
        <v>33</v>
      </c>
      <c r="F116" s="3"/>
      <c r="G116" s="36"/>
      <c r="H116" s="36"/>
      <c r="I116" s="36"/>
      <c r="J116" s="36"/>
      <c r="K116" s="31"/>
      <c r="L116" s="7"/>
    </row>
    <row r="117" spans="1:14">
      <c r="A117">
        <v>7</v>
      </c>
      <c r="B117" s="16" t="s">
        <v>95</v>
      </c>
      <c r="C117" s="2"/>
      <c r="D117" s="3" t="s">
        <v>96</v>
      </c>
      <c r="E117" s="14" t="s">
        <v>33</v>
      </c>
      <c r="F117" s="3"/>
      <c r="G117" s="36"/>
      <c r="H117" s="36"/>
      <c r="I117" s="36"/>
      <c r="J117" s="36"/>
      <c r="K117" s="31"/>
      <c r="L117" s="7"/>
    </row>
    <row r="118" spans="1:14">
      <c r="A118">
        <v>8</v>
      </c>
      <c r="B118" s="16" t="s">
        <v>97</v>
      </c>
      <c r="C118" s="2"/>
      <c r="D118" s="3" t="s">
        <v>98</v>
      </c>
      <c r="E118" s="14" t="s">
        <v>31</v>
      </c>
      <c r="F118" s="3"/>
      <c r="G118" s="36"/>
      <c r="H118" s="36"/>
      <c r="I118" s="36"/>
      <c r="J118" s="36"/>
      <c r="K118" s="31"/>
      <c r="L118" s="7"/>
    </row>
    <row r="119" spans="1:14">
      <c r="A119">
        <v>9</v>
      </c>
      <c r="B119" s="16" t="s">
        <v>45</v>
      </c>
      <c r="C119" s="2"/>
      <c r="D119" s="3" t="s">
        <v>17</v>
      </c>
      <c r="E119" s="14" t="s">
        <v>31</v>
      </c>
      <c r="F119" s="3"/>
      <c r="G119" s="36"/>
      <c r="H119" s="36"/>
      <c r="I119" s="36"/>
      <c r="J119" s="36"/>
      <c r="K119" s="31"/>
      <c r="L119" s="7"/>
    </row>
    <row r="120" spans="1:14">
      <c r="A120">
        <v>10</v>
      </c>
      <c r="B120" s="16" t="s">
        <v>34</v>
      </c>
      <c r="C120" s="2"/>
      <c r="D120" s="3" t="s">
        <v>35</v>
      </c>
      <c r="E120" s="14" t="s">
        <v>36</v>
      </c>
      <c r="F120" s="36"/>
      <c r="G120" s="36"/>
      <c r="H120" s="36"/>
      <c r="I120" s="36"/>
      <c r="J120" s="30" t="s">
        <v>37</v>
      </c>
      <c r="K120" s="3"/>
      <c r="L120" s="7"/>
    </row>
    <row r="121" spans="1:14" ht="19.5" thickBot="1">
      <c r="A121">
        <v>11</v>
      </c>
      <c r="B121" s="17" t="s">
        <v>38</v>
      </c>
      <c r="C121" s="18"/>
      <c r="D121" s="8" t="s">
        <v>39</v>
      </c>
      <c r="E121" s="15" t="s">
        <v>36</v>
      </c>
      <c r="F121" s="37"/>
      <c r="G121" s="37"/>
      <c r="H121" s="37"/>
      <c r="I121" s="37"/>
      <c r="J121" s="38" t="s">
        <v>37</v>
      </c>
      <c r="K121" s="8"/>
      <c r="L121" s="9" t="s">
        <v>50</v>
      </c>
    </row>
    <row r="122" spans="1:14" ht="19.5" thickTop="1">
      <c r="J122" s="43"/>
    </row>
    <row r="123" spans="1:14" ht="19.5" thickBot="1">
      <c r="B123" t="str">
        <f>HYPERLINK("#'テーブル設計'!B2","テーブル一覧")</f>
        <v>テーブル一覧</v>
      </c>
    </row>
    <row r="124" spans="1:14" ht="19.5" thickTop="1">
      <c r="B124" s="19" t="s">
        <v>21</v>
      </c>
      <c r="C124" s="4"/>
      <c r="D124" s="5" t="s">
        <v>84</v>
      </c>
      <c r="E124" s="6"/>
      <c r="F124" t="s">
        <v>283</v>
      </c>
      <c r="M124" t="str">
        <f>+D124</f>
        <v>calculation_runs</v>
      </c>
      <c r="N124">
        <v>124</v>
      </c>
    </row>
    <row r="125" spans="1:14" ht="19.5" thickBot="1">
      <c r="B125" s="17" t="s">
        <v>22</v>
      </c>
      <c r="C125" s="15"/>
      <c r="D125" s="76" t="s">
        <v>377</v>
      </c>
      <c r="E125" s="20"/>
    </row>
    <row r="126" spans="1:14" ht="19.5" thickTop="1"/>
    <row r="127" spans="1:14">
      <c r="B127" s="1" t="s">
        <v>23</v>
      </c>
      <c r="C127" s="14"/>
    </row>
    <row r="128" spans="1:14">
      <c r="C128" t="s">
        <v>265</v>
      </c>
    </row>
    <row r="132" spans="2:3">
      <c r="B132" s="1" t="s">
        <v>24</v>
      </c>
      <c r="C132" s="14"/>
    </row>
    <row r="133" spans="2:3">
      <c r="C133" t="s">
        <v>25</v>
      </c>
    </row>
    <row r="135" spans="2:3">
      <c r="B135" s="1" t="s">
        <v>26</v>
      </c>
      <c r="C135" s="14"/>
    </row>
    <row r="136" spans="2:3">
      <c r="C136" s="10"/>
    </row>
    <row r="141" spans="2:3">
      <c r="B141" s="1" t="s">
        <v>49</v>
      </c>
      <c r="C141" s="14"/>
    </row>
    <row r="142" spans="2:3">
      <c r="C142" s="24" t="s">
        <v>65</v>
      </c>
    </row>
    <row r="148" spans="1:17" ht="19.5" thickBot="1"/>
    <row r="149" spans="1:17" ht="19.5" thickTop="1">
      <c r="B149" s="90" t="s">
        <v>2</v>
      </c>
      <c r="C149" s="91"/>
      <c r="D149" s="11" t="s">
        <v>3</v>
      </c>
      <c r="E149" s="13" t="s">
        <v>4</v>
      </c>
      <c r="F149" s="35" t="s">
        <v>5</v>
      </c>
      <c r="G149" s="35" t="s">
        <v>7</v>
      </c>
      <c r="H149" s="35" t="s">
        <v>27</v>
      </c>
      <c r="I149" s="35" t="s">
        <v>47</v>
      </c>
      <c r="J149" s="11" t="s">
        <v>14</v>
      </c>
      <c r="K149" s="11" t="s">
        <v>15</v>
      </c>
      <c r="L149" s="12" t="s">
        <v>17</v>
      </c>
      <c r="P149" s="29"/>
      <c r="Q149" s="28"/>
    </row>
    <row r="150" spans="1:17">
      <c r="A150">
        <v>1</v>
      </c>
      <c r="B150" s="16" t="s">
        <v>25</v>
      </c>
      <c r="C150" s="2"/>
      <c r="D150" s="3" t="s">
        <v>266</v>
      </c>
      <c r="E150" s="14" t="s">
        <v>29</v>
      </c>
      <c r="F150" s="3" t="s">
        <v>30</v>
      </c>
      <c r="G150" s="36"/>
      <c r="H150" s="36" t="s">
        <v>30</v>
      </c>
      <c r="I150" s="36" t="s">
        <v>30</v>
      </c>
      <c r="J150" s="36"/>
      <c r="K150" s="31"/>
      <c r="L150" s="7" t="s">
        <v>219</v>
      </c>
    </row>
    <row r="151" spans="1:17">
      <c r="A151">
        <v>2</v>
      </c>
      <c r="B151" s="16" t="s">
        <v>119</v>
      </c>
      <c r="C151" s="2"/>
      <c r="D151" s="3" t="s">
        <v>100</v>
      </c>
      <c r="E151" s="14" t="s">
        <v>29</v>
      </c>
      <c r="F151" s="3"/>
      <c r="G151" s="36" t="s">
        <v>30</v>
      </c>
      <c r="H151" s="36" t="s">
        <v>30</v>
      </c>
      <c r="I151" s="36"/>
      <c r="J151" s="36"/>
      <c r="K151" s="31" t="s">
        <v>378</v>
      </c>
      <c r="L151" s="7" t="s">
        <v>27</v>
      </c>
    </row>
    <row r="152" spans="1:17">
      <c r="A152">
        <v>3</v>
      </c>
      <c r="B152" s="16" t="s">
        <v>267</v>
      </c>
      <c r="C152" s="2"/>
      <c r="D152" s="3" t="s">
        <v>268</v>
      </c>
      <c r="E152" s="14" t="s">
        <v>31</v>
      </c>
      <c r="F152" s="3"/>
      <c r="G152" s="36"/>
      <c r="H152" s="36"/>
      <c r="I152" s="36"/>
      <c r="J152" s="36"/>
      <c r="K152" s="31"/>
      <c r="L152" s="7"/>
    </row>
    <row r="153" spans="1:17">
      <c r="A153">
        <v>4</v>
      </c>
      <c r="B153" s="16" t="s">
        <v>97</v>
      </c>
      <c r="C153" s="2"/>
      <c r="D153" s="3" t="s">
        <v>269</v>
      </c>
      <c r="E153" s="14" t="s">
        <v>31</v>
      </c>
      <c r="F153" s="3"/>
      <c r="G153" s="36"/>
      <c r="H153" s="36" t="s">
        <v>30</v>
      </c>
      <c r="I153" s="36"/>
      <c r="J153" s="36"/>
      <c r="K153" s="31"/>
      <c r="L153" s="7"/>
    </row>
    <row r="154" spans="1:17">
      <c r="A154">
        <v>5</v>
      </c>
      <c r="B154" s="16" t="s">
        <v>270</v>
      </c>
      <c r="C154" s="2"/>
      <c r="D154" s="3" t="s">
        <v>271</v>
      </c>
      <c r="E154" s="14" t="s">
        <v>31</v>
      </c>
      <c r="F154" s="3"/>
      <c r="G154" s="36"/>
      <c r="H154" s="36"/>
      <c r="I154" s="36"/>
      <c r="J154" s="36"/>
      <c r="K154" s="31"/>
      <c r="L154" s="7"/>
    </row>
    <row r="155" spans="1:17">
      <c r="A155">
        <v>6</v>
      </c>
      <c r="B155" s="16" t="s">
        <v>272</v>
      </c>
      <c r="C155" s="2"/>
      <c r="D155" s="3" t="s">
        <v>273</v>
      </c>
      <c r="E155" s="14" t="s">
        <v>31</v>
      </c>
      <c r="F155" s="3"/>
      <c r="G155" s="36"/>
      <c r="H155" s="36"/>
      <c r="I155" s="36"/>
      <c r="J155" s="36"/>
      <c r="K155" s="31"/>
      <c r="L155" s="7"/>
    </row>
    <row r="156" spans="1:17">
      <c r="A156">
        <v>7</v>
      </c>
      <c r="B156" s="16" t="s">
        <v>274</v>
      </c>
      <c r="C156" s="2"/>
      <c r="D156" s="3" t="s">
        <v>275</v>
      </c>
      <c r="E156" s="14" t="s">
        <v>31</v>
      </c>
      <c r="F156" s="3"/>
      <c r="G156" s="36"/>
      <c r="H156" s="36"/>
      <c r="I156" s="36"/>
      <c r="J156" s="36"/>
      <c r="K156" s="31"/>
      <c r="L156" s="7"/>
    </row>
    <row r="157" spans="1:17">
      <c r="A157">
        <v>8</v>
      </c>
      <c r="B157" s="16" t="s">
        <v>276</v>
      </c>
      <c r="C157" s="2"/>
      <c r="D157" s="3" t="s">
        <v>277</v>
      </c>
      <c r="E157" s="14" t="s">
        <v>36</v>
      </c>
      <c r="F157" s="3"/>
      <c r="G157" s="36"/>
      <c r="H157" s="36" t="s">
        <v>30</v>
      </c>
      <c r="I157" s="36"/>
      <c r="J157" s="36"/>
      <c r="K157" s="31"/>
      <c r="L157" s="7"/>
    </row>
    <row r="158" spans="1:17">
      <c r="A158">
        <v>9</v>
      </c>
      <c r="B158" s="16" t="s">
        <v>278</v>
      </c>
      <c r="C158" s="2"/>
      <c r="D158" s="3" t="s">
        <v>279</v>
      </c>
      <c r="E158" s="14" t="s">
        <v>31</v>
      </c>
      <c r="F158" s="3"/>
      <c r="G158" s="36"/>
      <c r="H158" s="36"/>
      <c r="I158" s="36"/>
      <c r="J158" s="36"/>
      <c r="K158" s="31"/>
      <c r="L158" s="7"/>
    </row>
    <row r="159" spans="1:17">
      <c r="A159">
        <v>10</v>
      </c>
      <c r="B159" s="16" t="s">
        <v>280</v>
      </c>
      <c r="C159" s="2"/>
      <c r="D159" s="3" t="s">
        <v>281</v>
      </c>
      <c r="E159" s="14" t="s">
        <v>31</v>
      </c>
      <c r="F159" s="36"/>
      <c r="G159" s="36"/>
      <c r="H159" s="36"/>
      <c r="I159" s="36"/>
      <c r="J159" s="30"/>
      <c r="K159" s="3"/>
      <c r="L159" s="7"/>
    </row>
    <row r="160" spans="1:17" ht="19.5" thickBot="1">
      <c r="A160">
        <v>11</v>
      </c>
      <c r="B160" s="17" t="s">
        <v>45</v>
      </c>
      <c r="C160" s="18"/>
      <c r="D160" s="8" t="s">
        <v>17</v>
      </c>
      <c r="E160" s="15" t="s">
        <v>31</v>
      </c>
      <c r="F160" s="37"/>
      <c r="G160" s="37"/>
      <c r="H160" s="37"/>
      <c r="I160" s="37"/>
      <c r="J160" s="38"/>
      <c r="K160" s="8"/>
      <c r="L160" s="9"/>
    </row>
    <row r="161" spans="2:14" ht="19.5" thickTop="1">
      <c r="J161" s="43"/>
    </row>
    <row r="162" spans="2:14">
      <c r="B162" t="str">
        <f>HYPERLINK("#'テーブル設計'!B2","テーブル一覧")</f>
        <v>テーブル一覧</v>
      </c>
    </row>
    <row r="163" spans="2:14" ht="19.5" thickBot="1"/>
    <row r="164" spans="2:14" ht="19.5" thickTop="1">
      <c r="B164" s="19" t="s">
        <v>21</v>
      </c>
      <c r="C164" s="4"/>
      <c r="D164" s="47" t="s">
        <v>429</v>
      </c>
      <c r="E164" s="6"/>
      <c r="F164" t="s">
        <v>284</v>
      </c>
      <c r="M164" t="str">
        <f>+D164</f>
        <v>ifc_elements</v>
      </c>
      <c r="N164">
        <v>164</v>
      </c>
    </row>
    <row r="165" spans="2:14" ht="19.5" thickBot="1">
      <c r="B165" s="17" t="s">
        <v>22</v>
      </c>
      <c r="C165" s="15"/>
      <c r="D165" s="21" t="s">
        <v>285</v>
      </c>
      <c r="E165" s="20"/>
    </row>
    <row r="166" spans="2:14" ht="19.5" thickTop="1"/>
    <row r="167" spans="2:14">
      <c r="B167" s="1" t="s">
        <v>23</v>
      </c>
      <c r="C167" s="14"/>
    </row>
    <row r="172" spans="2:14">
      <c r="B172" s="1" t="s">
        <v>24</v>
      </c>
      <c r="C172" s="14"/>
    </row>
    <row r="173" spans="2:14">
      <c r="C173" t="s">
        <v>25</v>
      </c>
    </row>
    <row r="175" spans="2:14">
      <c r="B175" s="1" t="s">
        <v>26</v>
      </c>
      <c r="C175" s="14"/>
    </row>
    <row r="176" spans="2:14">
      <c r="C176" s="10"/>
    </row>
    <row r="181" spans="1:17">
      <c r="B181" s="1" t="s">
        <v>49</v>
      </c>
      <c r="C181" s="14"/>
    </row>
    <row r="182" spans="1:17">
      <c r="C182" s="24" t="s">
        <v>65</v>
      </c>
    </row>
    <row r="188" spans="1:17" ht="19.5" thickBot="1"/>
    <row r="189" spans="1:17" ht="19.5" thickTop="1">
      <c r="B189" s="90" t="s">
        <v>2</v>
      </c>
      <c r="C189" s="92"/>
      <c r="D189" s="11" t="s">
        <v>3</v>
      </c>
      <c r="E189" s="13" t="s">
        <v>4</v>
      </c>
      <c r="F189" s="35" t="s">
        <v>5</v>
      </c>
      <c r="G189" s="35" t="s">
        <v>7</v>
      </c>
      <c r="H189" s="35" t="s">
        <v>27</v>
      </c>
      <c r="I189" s="35" t="s">
        <v>47</v>
      </c>
      <c r="J189" s="11" t="s">
        <v>14</v>
      </c>
      <c r="K189" s="11" t="s">
        <v>15</v>
      </c>
      <c r="L189" s="12" t="s">
        <v>17</v>
      </c>
      <c r="P189" s="29"/>
      <c r="Q189" s="28"/>
    </row>
    <row r="190" spans="1:17">
      <c r="A190">
        <v>1</v>
      </c>
      <c r="B190" s="16" t="s">
        <v>25</v>
      </c>
      <c r="C190" s="14"/>
      <c r="D190" s="67" t="s">
        <v>367</v>
      </c>
      <c r="E190" s="14" t="s">
        <v>29</v>
      </c>
      <c r="F190" s="3" t="s">
        <v>30</v>
      </c>
      <c r="G190" s="36"/>
      <c r="H190" s="36" t="s">
        <v>30</v>
      </c>
      <c r="I190" s="36"/>
      <c r="J190" s="36"/>
      <c r="K190" s="31"/>
      <c r="L190" s="7" t="s">
        <v>219</v>
      </c>
    </row>
    <row r="191" spans="1:17">
      <c r="A191">
        <v>2</v>
      </c>
      <c r="B191" s="16" t="s">
        <v>341</v>
      </c>
      <c r="C191" s="14"/>
      <c r="D191" s="67" t="s">
        <v>430</v>
      </c>
      <c r="E191" s="14" t="s">
        <v>29</v>
      </c>
      <c r="F191" s="3"/>
      <c r="G191" s="64" t="s">
        <v>30</v>
      </c>
      <c r="H191" s="64" t="s">
        <v>30</v>
      </c>
      <c r="I191" s="36"/>
      <c r="J191" s="36"/>
      <c r="K191" s="30" t="s">
        <v>431</v>
      </c>
      <c r="L191" s="26" t="s">
        <v>432</v>
      </c>
    </row>
    <row r="192" spans="1:17">
      <c r="A192">
        <v>3</v>
      </c>
      <c r="B192" s="85" t="s">
        <v>489</v>
      </c>
      <c r="C192" s="14"/>
      <c r="D192" s="67" t="s">
        <v>488</v>
      </c>
      <c r="E192" s="14" t="s">
        <v>29</v>
      </c>
      <c r="F192" s="3"/>
      <c r="G192" s="64"/>
      <c r="H192" s="64"/>
      <c r="I192" s="36"/>
      <c r="J192" s="36"/>
      <c r="K192" s="30"/>
      <c r="L192" s="26" t="s">
        <v>491</v>
      </c>
    </row>
    <row r="193" spans="1:12">
      <c r="A193">
        <v>4</v>
      </c>
      <c r="B193" s="16" t="s">
        <v>319</v>
      </c>
      <c r="C193" s="14"/>
      <c r="D193" s="3" t="s">
        <v>320</v>
      </c>
      <c r="E193" s="3" t="s">
        <v>31</v>
      </c>
      <c r="F193" s="3"/>
      <c r="G193" s="36"/>
      <c r="H193" s="36" t="s">
        <v>30</v>
      </c>
      <c r="I193" s="36"/>
      <c r="J193" s="36"/>
      <c r="K193" s="31"/>
      <c r="L193" s="14" t="s">
        <v>433</v>
      </c>
    </row>
    <row r="194" spans="1:12">
      <c r="A194">
        <v>5</v>
      </c>
      <c r="B194" s="16" t="s">
        <v>321</v>
      </c>
      <c r="C194" s="14"/>
      <c r="D194" s="3" t="s">
        <v>322</v>
      </c>
      <c r="E194" s="3" t="s">
        <v>31</v>
      </c>
      <c r="F194" s="3"/>
      <c r="G194" s="36"/>
      <c r="H194" s="36" t="s">
        <v>30</v>
      </c>
      <c r="I194" s="36"/>
      <c r="J194" s="36"/>
      <c r="K194" s="31"/>
      <c r="L194" s="14" t="s">
        <v>434</v>
      </c>
    </row>
    <row r="195" spans="1:12">
      <c r="A195">
        <v>6</v>
      </c>
      <c r="B195" s="16" t="s">
        <v>32</v>
      </c>
      <c r="C195" s="14"/>
      <c r="D195" s="3" t="s">
        <v>323</v>
      </c>
      <c r="E195" s="3" t="s">
        <v>31</v>
      </c>
      <c r="F195" s="3"/>
      <c r="G195" s="36"/>
      <c r="H195" s="36"/>
      <c r="I195" s="36"/>
      <c r="J195" s="36"/>
      <c r="K195" s="31"/>
      <c r="L195" s="14" t="s">
        <v>435</v>
      </c>
    </row>
    <row r="196" spans="1:12">
      <c r="A196">
        <v>7</v>
      </c>
      <c r="B196" s="16" t="s">
        <v>436</v>
      </c>
      <c r="C196" s="2"/>
      <c r="D196" s="3" t="s">
        <v>437</v>
      </c>
      <c r="E196" s="3" t="s">
        <v>31</v>
      </c>
      <c r="F196" s="3"/>
      <c r="G196" s="36"/>
      <c r="H196" s="36"/>
      <c r="I196" s="36"/>
      <c r="J196" s="36"/>
      <c r="K196" s="31"/>
      <c r="L196" s="14" t="s">
        <v>435</v>
      </c>
    </row>
    <row r="197" spans="1:12">
      <c r="A197">
        <v>8</v>
      </c>
      <c r="B197" s="16" t="s">
        <v>438</v>
      </c>
      <c r="C197" s="2"/>
      <c r="D197" s="3" t="s">
        <v>439</v>
      </c>
      <c r="E197" s="3" t="s">
        <v>31</v>
      </c>
      <c r="F197" s="3"/>
      <c r="G197" s="36"/>
      <c r="H197" s="36"/>
      <c r="I197" s="36"/>
      <c r="J197" s="36"/>
      <c r="K197" s="31"/>
      <c r="L197" s="14" t="s">
        <v>435</v>
      </c>
    </row>
    <row r="198" spans="1:12">
      <c r="A198">
        <v>9</v>
      </c>
      <c r="B198" s="16" t="s">
        <v>324</v>
      </c>
      <c r="C198" s="2"/>
      <c r="D198" s="3" t="s">
        <v>325</v>
      </c>
      <c r="E198" s="3" t="s">
        <v>31</v>
      </c>
      <c r="F198" s="3"/>
      <c r="G198" s="36"/>
      <c r="H198" s="36"/>
      <c r="I198" s="36"/>
      <c r="J198" s="36"/>
      <c r="K198" s="31"/>
      <c r="L198" s="14" t="s">
        <v>435</v>
      </c>
    </row>
    <row r="199" spans="1:12">
      <c r="A199">
        <v>10</v>
      </c>
      <c r="B199" s="16" t="s">
        <v>440</v>
      </c>
      <c r="C199" s="2"/>
      <c r="D199" s="3" t="s">
        <v>441</v>
      </c>
      <c r="E199" s="3" t="s">
        <v>31</v>
      </c>
      <c r="F199" s="3"/>
      <c r="G199" s="36"/>
      <c r="H199" s="36"/>
      <c r="I199" s="36"/>
      <c r="J199" s="36"/>
      <c r="K199" s="31"/>
      <c r="L199" s="14" t="s">
        <v>435</v>
      </c>
    </row>
    <row r="200" spans="1:12">
      <c r="A200">
        <v>11</v>
      </c>
      <c r="B200" s="16" t="s">
        <v>229</v>
      </c>
      <c r="C200" s="2"/>
      <c r="D200" s="3" t="s">
        <v>147</v>
      </c>
      <c r="E200" s="3" t="s">
        <v>29</v>
      </c>
      <c r="F200" s="3"/>
      <c r="G200" s="36" t="s">
        <v>30</v>
      </c>
      <c r="H200" s="36"/>
      <c r="I200" s="36"/>
      <c r="J200" s="36"/>
      <c r="K200" s="31" t="s">
        <v>379</v>
      </c>
      <c r="L200" s="14" t="s">
        <v>442</v>
      </c>
    </row>
    <row r="201" spans="1:12">
      <c r="A201">
        <v>12</v>
      </c>
      <c r="B201" s="16" t="s">
        <v>326</v>
      </c>
      <c r="C201" s="2"/>
      <c r="D201" s="3" t="s">
        <v>327</v>
      </c>
      <c r="E201" s="3" t="s">
        <v>31</v>
      </c>
      <c r="F201" s="3"/>
      <c r="G201" s="36"/>
      <c r="H201" s="36"/>
      <c r="I201" s="36"/>
      <c r="J201" s="36"/>
      <c r="K201" s="30"/>
      <c r="L201" s="14" t="s">
        <v>435</v>
      </c>
    </row>
    <row r="202" spans="1:12">
      <c r="A202">
        <v>13</v>
      </c>
      <c r="B202" s="65" t="s">
        <v>328</v>
      </c>
      <c r="C202" s="2"/>
      <c r="D202" s="3" t="s">
        <v>329</v>
      </c>
      <c r="E202" s="3" t="s">
        <v>31</v>
      </c>
      <c r="F202" s="3"/>
      <c r="G202" s="64"/>
      <c r="H202" s="36"/>
      <c r="I202" s="36"/>
      <c r="J202" s="36"/>
      <c r="K202" s="31"/>
      <c r="L202" s="14" t="s">
        <v>435</v>
      </c>
    </row>
    <row r="203" spans="1:12">
      <c r="A203">
        <v>14</v>
      </c>
      <c r="B203" s="16" t="s">
        <v>330</v>
      </c>
      <c r="C203" s="2"/>
      <c r="D203" s="3" t="s">
        <v>331</v>
      </c>
      <c r="E203" s="3" t="s">
        <v>212</v>
      </c>
      <c r="F203" s="3"/>
      <c r="G203" s="36"/>
      <c r="H203" s="36"/>
      <c r="I203" s="36"/>
      <c r="J203" s="36"/>
      <c r="K203" s="30"/>
      <c r="L203" s="14" t="s">
        <v>435</v>
      </c>
    </row>
    <row r="204" spans="1:12">
      <c r="A204">
        <v>15</v>
      </c>
      <c r="B204" s="16" t="s">
        <v>210</v>
      </c>
      <c r="C204" s="2"/>
      <c r="D204" s="3" t="s">
        <v>211</v>
      </c>
      <c r="E204" s="3" t="s">
        <v>212</v>
      </c>
      <c r="F204" s="3"/>
      <c r="G204" s="36"/>
      <c r="H204" s="36"/>
      <c r="I204" s="36"/>
      <c r="J204" s="36"/>
      <c r="K204" s="31"/>
      <c r="L204" s="14" t="s">
        <v>435</v>
      </c>
    </row>
    <row r="205" spans="1:12">
      <c r="A205">
        <v>16</v>
      </c>
      <c r="B205" s="16" t="s">
        <v>215</v>
      </c>
      <c r="C205" s="2"/>
      <c r="D205" s="3" t="s">
        <v>216</v>
      </c>
      <c r="E205" s="3" t="s">
        <v>212</v>
      </c>
      <c r="F205" s="3"/>
      <c r="G205" s="36"/>
      <c r="H205" s="36"/>
      <c r="I205" s="36"/>
      <c r="J205" s="36"/>
      <c r="K205" s="31"/>
      <c r="L205" s="14" t="s">
        <v>435</v>
      </c>
    </row>
    <row r="206" spans="1:12">
      <c r="A206">
        <v>17</v>
      </c>
      <c r="B206" s="16" t="s">
        <v>443</v>
      </c>
      <c r="C206" s="2"/>
      <c r="D206" s="3" t="s">
        <v>444</v>
      </c>
      <c r="E206" s="3" t="s">
        <v>212</v>
      </c>
      <c r="F206" s="3"/>
      <c r="G206" s="36"/>
      <c r="H206" s="36"/>
      <c r="I206" s="36"/>
      <c r="J206" s="36"/>
      <c r="K206" s="31"/>
      <c r="L206" s="14" t="s">
        <v>435</v>
      </c>
    </row>
    <row r="207" spans="1:12">
      <c r="A207">
        <v>18</v>
      </c>
      <c r="B207" s="16" t="s">
        <v>260</v>
      </c>
      <c r="C207" s="2"/>
      <c r="D207" s="3" t="s">
        <v>202</v>
      </c>
      <c r="E207" s="3" t="s">
        <v>29</v>
      </c>
      <c r="F207" s="3"/>
      <c r="G207" s="36" t="s">
        <v>30</v>
      </c>
      <c r="H207" s="36"/>
      <c r="I207" s="36" t="s">
        <v>30</v>
      </c>
      <c r="J207" s="36"/>
      <c r="K207" s="31" t="s">
        <v>380</v>
      </c>
      <c r="L207" s="14" t="s">
        <v>442</v>
      </c>
    </row>
    <row r="208" spans="1:12">
      <c r="A208">
        <v>19</v>
      </c>
      <c r="B208" s="16" t="s">
        <v>445</v>
      </c>
      <c r="C208" s="2"/>
      <c r="D208" s="3" t="s">
        <v>446</v>
      </c>
      <c r="E208" s="3" t="s">
        <v>31</v>
      </c>
      <c r="F208" s="3"/>
      <c r="G208" s="64"/>
      <c r="H208" s="36"/>
      <c r="I208" s="64"/>
      <c r="J208" s="36"/>
      <c r="K208" s="31"/>
      <c r="L208" s="14" t="s">
        <v>447</v>
      </c>
    </row>
    <row r="209" spans="1:14">
      <c r="A209">
        <v>20</v>
      </c>
      <c r="B209" s="16" t="s">
        <v>189</v>
      </c>
      <c r="C209" s="2"/>
      <c r="D209" s="3" t="s">
        <v>180</v>
      </c>
      <c r="E209" s="3" t="s">
        <v>29</v>
      </c>
      <c r="F209" s="3"/>
      <c r="G209" s="64" t="s">
        <v>30</v>
      </c>
      <c r="H209" s="36"/>
      <c r="I209" s="64" t="s">
        <v>30</v>
      </c>
      <c r="J209" s="36"/>
      <c r="K209" s="30" t="s">
        <v>381</v>
      </c>
      <c r="L209" s="14" t="s">
        <v>442</v>
      </c>
    </row>
    <row r="210" spans="1:14" ht="19.5" thickBot="1">
      <c r="A210">
        <v>21</v>
      </c>
      <c r="B210" s="17" t="s">
        <v>128</v>
      </c>
      <c r="C210" s="18"/>
      <c r="D210" s="8" t="s">
        <v>17</v>
      </c>
      <c r="E210" s="15" t="s">
        <v>31</v>
      </c>
      <c r="F210" s="37"/>
      <c r="G210" s="37"/>
      <c r="H210" s="37"/>
      <c r="I210" s="37"/>
      <c r="J210" s="38"/>
      <c r="K210" s="8"/>
      <c r="L210" s="9"/>
    </row>
    <row r="211" spans="1:14" ht="19.5" thickTop="1">
      <c r="J211" s="43"/>
    </row>
    <row r="212" spans="1:14">
      <c r="B212" t="str">
        <f>HYPERLINK("#'テーブル設計'!B2","テーブル一覧")</f>
        <v>テーブル一覧</v>
      </c>
    </row>
    <row r="213" spans="1:14" ht="19.5" thickBot="1"/>
    <row r="214" spans="1:14" ht="19.5" thickTop="1">
      <c r="B214" s="19" t="s">
        <v>21</v>
      </c>
      <c r="C214" s="4"/>
      <c r="D214" s="5" t="s">
        <v>287</v>
      </c>
      <c r="E214" s="6"/>
      <c r="F214" t="s">
        <v>286</v>
      </c>
      <c r="M214" t="str">
        <f>+D214</f>
        <v>element_properties</v>
      </c>
      <c r="N214">
        <v>214</v>
      </c>
    </row>
    <row r="215" spans="1:14" ht="19.5" thickBot="1">
      <c r="B215" s="17" t="s">
        <v>22</v>
      </c>
      <c r="C215" s="15"/>
      <c r="D215" s="21" t="s">
        <v>288</v>
      </c>
      <c r="E215" s="20"/>
    </row>
    <row r="216" spans="1:14" ht="19.5" thickTop="1"/>
    <row r="217" spans="1:14">
      <c r="B217" s="1" t="s">
        <v>23</v>
      </c>
      <c r="C217" s="14"/>
    </row>
    <row r="222" spans="1:14">
      <c r="B222" s="1" t="s">
        <v>24</v>
      </c>
      <c r="C222" s="14"/>
    </row>
    <row r="223" spans="1:14">
      <c r="C223" t="s">
        <v>25</v>
      </c>
    </row>
    <row r="225" spans="1:17">
      <c r="B225" s="1" t="s">
        <v>26</v>
      </c>
      <c r="C225" s="14"/>
    </row>
    <row r="226" spans="1:17">
      <c r="C226" s="10"/>
    </row>
    <row r="230" spans="1:17">
      <c r="B230" s="1" t="s">
        <v>49</v>
      </c>
      <c r="C230" s="14"/>
    </row>
    <row r="231" spans="1:17">
      <c r="C231" s="24" t="s">
        <v>357</v>
      </c>
    </row>
    <row r="232" spans="1:17">
      <c r="C232" s="24" t="s">
        <v>495</v>
      </c>
    </row>
    <row r="233" spans="1:17">
      <c r="C233" s="24" t="s">
        <v>496</v>
      </c>
    </row>
    <row r="237" spans="1:17" ht="19.5" thickBot="1"/>
    <row r="238" spans="1:17" ht="19.5" thickTop="1">
      <c r="B238" s="90" t="s">
        <v>2</v>
      </c>
      <c r="C238" s="91"/>
      <c r="D238" s="11" t="s">
        <v>3</v>
      </c>
      <c r="E238" s="13" t="s">
        <v>4</v>
      </c>
      <c r="F238" s="35" t="s">
        <v>5</v>
      </c>
      <c r="G238" s="35" t="s">
        <v>7</v>
      </c>
      <c r="H238" s="35" t="s">
        <v>27</v>
      </c>
      <c r="I238" s="35" t="s">
        <v>47</v>
      </c>
      <c r="J238" s="11" t="s">
        <v>14</v>
      </c>
      <c r="K238" s="11" t="s">
        <v>15</v>
      </c>
      <c r="L238" s="12" t="s">
        <v>17</v>
      </c>
      <c r="P238" s="29"/>
      <c r="Q238" s="28"/>
    </row>
    <row r="239" spans="1:17">
      <c r="A239">
        <v>1</v>
      </c>
      <c r="B239" s="16" t="s">
        <v>25</v>
      </c>
      <c r="C239" s="2"/>
      <c r="D239" s="41" t="s">
        <v>349</v>
      </c>
      <c r="E239" s="14" t="s">
        <v>29</v>
      </c>
      <c r="F239" s="3" t="s">
        <v>30</v>
      </c>
      <c r="G239" s="36"/>
      <c r="H239" s="36" t="s">
        <v>30</v>
      </c>
      <c r="I239" s="36" t="s">
        <v>30</v>
      </c>
      <c r="J239" s="36"/>
      <c r="K239" s="31"/>
      <c r="L239" s="40" t="s">
        <v>356</v>
      </c>
    </row>
    <row r="240" spans="1:17">
      <c r="A240">
        <v>2</v>
      </c>
      <c r="B240" s="16" t="s">
        <v>342</v>
      </c>
      <c r="C240" s="2"/>
      <c r="D240" s="77" t="s">
        <v>367</v>
      </c>
      <c r="E240" s="14" t="s">
        <v>29</v>
      </c>
      <c r="F240" s="3"/>
      <c r="G240" s="64" t="s">
        <v>348</v>
      </c>
      <c r="H240" s="64" t="s">
        <v>338</v>
      </c>
      <c r="I240" s="36"/>
      <c r="J240" s="36"/>
      <c r="K240" s="31" t="s">
        <v>382</v>
      </c>
      <c r="L240" s="7" t="s">
        <v>350</v>
      </c>
    </row>
    <row r="241" spans="1:14">
      <c r="A241">
        <v>3</v>
      </c>
      <c r="B241" s="16" t="s">
        <v>343</v>
      </c>
      <c r="C241" s="2"/>
      <c r="D241" s="3" t="s">
        <v>369</v>
      </c>
      <c r="E241" s="27" t="s">
        <v>368</v>
      </c>
      <c r="F241" s="3"/>
      <c r="G241" s="36"/>
      <c r="H241" s="36"/>
      <c r="I241" s="36"/>
      <c r="J241" s="36"/>
      <c r="K241" s="31"/>
      <c r="L241" s="7" t="s">
        <v>351</v>
      </c>
    </row>
    <row r="242" spans="1:14">
      <c r="A242">
        <v>4</v>
      </c>
      <c r="B242" s="16" t="s">
        <v>344</v>
      </c>
      <c r="C242" s="2"/>
      <c r="D242" s="3" t="s">
        <v>370</v>
      </c>
      <c r="E242" s="27" t="s">
        <v>368</v>
      </c>
      <c r="F242" s="3"/>
      <c r="G242" s="36"/>
      <c r="H242" s="36" t="s">
        <v>30</v>
      </c>
      <c r="I242" s="36"/>
      <c r="J242" s="36"/>
      <c r="K242" s="31"/>
      <c r="L242" s="7" t="s">
        <v>352</v>
      </c>
    </row>
    <row r="243" spans="1:14">
      <c r="A243">
        <v>5</v>
      </c>
      <c r="B243" s="16" t="s">
        <v>345</v>
      </c>
      <c r="C243" s="2"/>
      <c r="D243" s="3" t="s">
        <v>371</v>
      </c>
      <c r="E243" s="27" t="s">
        <v>368</v>
      </c>
      <c r="F243" s="3"/>
      <c r="G243" s="36"/>
      <c r="H243" s="36" t="s">
        <v>30</v>
      </c>
      <c r="I243" s="36"/>
      <c r="J243" s="36"/>
      <c r="K243" s="31"/>
      <c r="L243" s="7" t="s">
        <v>353</v>
      </c>
    </row>
    <row r="244" spans="1:14">
      <c r="A244">
        <v>6</v>
      </c>
      <c r="B244" s="16" t="s">
        <v>346</v>
      </c>
      <c r="C244" s="2"/>
      <c r="D244" s="3" t="s">
        <v>372</v>
      </c>
      <c r="E244" s="27" t="s">
        <v>368</v>
      </c>
      <c r="F244" s="3"/>
      <c r="G244" s="36"/>
      <c r="H244" s="36"/>
      <c r="I244" s="36"/>
      <c r="J244" s="36"/>
      <c r="K244" s="31"/>
      <c r="L244" s="7" t="s">
        <v>354</v>
      </c>
    </row>
    <row r="245" spans="1:14" ht="19.5" thickBot="1">
      <c r="A245">
        <v>7</v>
      </c>
      <c r="B245" s="17" t="s">
        <v>347</v>
      </c>
      <c r="C245" s="18"/>
      <c r="D245" s="8" t="s">
        <v>366</v>
      </c>
      <c r="E245" s="78" t="s">
        <v>368</v>
      </c>
      <c r="F245" s="8"/>
      <c r="G245" s="37"/>
      <c r="H245" s="37"/>
      <c r="I245" s="37"/>
      <c r="J245" s="37"/>
      <c r="K245" s="38"/>
      <c r="L245" s="9" t="s">
        <v>355</v>
      </c>
    </row>
    <row r="246" spans="1:14" ht="19.5" thickTop="1">
      <c r="J246" s="43"/>
    </row>
    <row r="247" spans="1:14">
      <c r="B247" t="str">
        <f>HYPERLINK("#'テーブル設計'!B2","テーブル一覧")</f>
        <v>テーブル一覧</v>
      </c>
    </row>
    <row r="248" spans="1:14" ht="19.5" thickBot="1"/>
    <row r="249" spans="1:14" ht="19.5" thickTop="1">
      <c r="B249" s="19" t="s">
        <v>21</v>
      </c>
      <c r="C249" s="4"/>
      <c r="D249" s="5" t="s">
        <v>450</v>
      </c>
      <c r="E249" s="6"/>
      <c r="F249" s="24" t="s">
        <v>454</v>
      </c>
      <c r="M249" t="str">
        <f>+D249</f>
        <v>ifc_ports</v>
      </c>
      <c r="N249">
        <v>249</v>
      </c>
    </row>
    <row r="250" spans="1:14" ht="19.5" thickBot="1">
      <c r="B250" s="17" t="s">
        <v>22</v>
      </c>
      <c r="C250" s="15"/>
      <c r="D250" s="76" t="s">
        <v>449</v>
      </c>
      <c r="E250" s="20"/>
    </row>
    <row r="251" spans="1:14" ht="19.5" thickTop="1"/>
    <row r="252" spans="1:14">
      <c r="B252" s="1" t="s">
        <v>23</v>
      </c>
      <c r="C252" s="14"/>
    </row>
    <row r="253" spans="1:14">
      <c r="C253" s="24" t="s">
        <v>487</v>
      </c>
    </row>
    <row r="257" spans="2:3">
      <c r="B257" s="1" t="s">
        <v>24</v>
      </c>
      <c r="C257" s="14"/>
    </row>
    <row r="258" spans="2:3">
      <c r="C258" t="s">
        <v>25</v>
      </c>
    </row>
    <row r="260" spans="2:3">
      <c r="B260" s="1" t="s">
        <v>26</v>
      </c>
      <c r="C260" s="14"/>
    </row>
    <row r="261" spans="2:3">
      <c r="C261" s="10"/>
    </row>
    <row r="266" spans="2:3">
      <c r="B266" s="1" t="s">
        <v>49</v>
      </c>
      <c r="C266" s="14"/>
    </row>
    <row r="267" spans="2:3">
      <c r="C267" t="s">
        <v>492</v>
      </c>
    </row>
    <row r="268" spans="2:3">
      <c r="C268" t="s">
        <v>493</v>
      </c>
    </row>
    <row r="275" spans="1:17" ht="19.5" thickBot="1"/>
    <row r="276" spans="1:17" ht="19.5" thickTop="1">
      <c r="B276" s="90" t="s">
        <v>2</v>
      </c>
      <c r="C276" s="91"/>
      <c r="D276" s="11" t="s">
        <v>3</v>
      </c>
      <c r="E276" s="13" t="s">
        <v>4</v>
      </c>
      <c r="F276" s="35" t="s">
        <v>5</v>
      </c>
      <c r="G276" s="35" t="s">
        <v>7</v>
      </c>
      <c r="H276" s="35" t="s">
        <v>27</v>
      </c>
      <c r="I276" s="35" t="s">
        <v>47</v>
      </c>
      <c r="J276" s="11" t="s">
        <v>14</v>
      </c>
      <c r="K276" s="11" t="s">
        <v>15</v>
      </c>
      <c r="L276" s="12" t="s">
        <v>17</v>
      </c>
      <c r="P276" s="29"/>
      <c r="Q276" s="28"/>
    </row>
    <row r="277" spans="1:17">
      <c r="A277">
        <v>1</v>
      </c>
      <c r="B277" s="16" t="s">
        <v>25</v>
      </c>
      <c r="C277" s="2"/>
      <c r="D277" s="3" t="s">
        <v>456</v>
      </c>
      <c r="E277" s="14" t="s">
        <v>29</v>
      </c>
      <c r="F277" s="3" t="s">
        <v>405</v>
      </c>
      <c r="G277" s="36"/>
      <c r="H277" s="36" t="s">
        <v>405</v>
      </c>
      <c r="I277" s="36"/>
      <c r="J277" s="36"/>
      <c r="K277" s="31"/>
      <c r="L277" s="24" t="s">
        <v>219</v>
      </c>
    </row>
    <row r="278" spans="1:17">
      <c r="A278">
        <v>2</v>
      </c>
      <c r="B278" s="16" t="s">
        <v>341</v>
      </c>
      <c r="C278" s="2"/>
      <c r="D278" s="3" t="s">
        <v>430</v>
      </c>
      <c r="E278" s="14" t="s">
        <v>29</v>
      </c>
      <c r="F278" s="3"/>
      <c r="G278" s="36" t="s">
        <v>405</v>
      </c>
      <c r="H278" s="36" t="s">
        <v>405</v>
      </c>
      <c r="I278" s="36"/>
      <c r="J278" s="36"/>
      <c r="K278" s="31" t="s">
        <v>431</v>
      </c>
      <c r="L278" s="7"/>
    </row>
    <row r="279" spans="1:17">
      <c r="A279">
        <v>3</v>
      </c>
      <c r="B279" s="16" t="s">
        <v>342</v>
      </c>
      <c r="C279" s="2"/>
      <c r="D279" s="3" t="s">
        <v>367</v>
      </c>
      <c r="E279" s="14" t="s">
        <v>29</v>
      </c>
      <c r="F279" s="3"/>
      <c r="G279" s="36" t="s">
        <v>405</v>
      </c>
      <c r="H279" s="36" t="s">
        <v>405</v>
      </c>
      <c r="I279" s="36"/>
      <c r="J279" s="36"/>
      <c r="K279" s="31" t="s">
        <v>382</v>
      </c>
      <c r="L279" s="7"/>
    </row>
    <row r="280" spans="1:17">
      <c r="A280">
        <v>4</v>
      </c>
      <c r="B280" s="16" t="s">
        <v>457</v>
      </c>
      <c r="C280" s="2"/>
      <c r="D280" s="3" t="s">
        <v>458</v>
      </c>
      <c r="E280" s="14" t="s">
        <v>29</v>
      </c>
      <c r="F280" s="3"/>
      <c r="G280" s="36"/>
      <c r="H280" s="36"/>
      <c r="I280" s="36"/>
      <c r="J280" s="36"/>
      <c r="K280" s="31"/>
      <c r="L280" s="7" t="s">
        <v>459</v>
      </c>
    </row>
    <row r="281" spans="1:17">
      <c r="A281">
        <v>5</v>
      </c>
      <c r="B281" s="16" t="s">
        <v>319</v>
      </c>
      <c r="C281" s="2"/>
      <c r="D281" s="3" t="s">
        <v>320</v>
      </c>
      <c r="E281" s="14" t="s">
        <v>31</v>
      </c>
      <c r="F281" s="3"/>
      <c r="G281" s="36"/>
      <c r="H281" s="36"/>
      <c r="I281" s="36"/>
      <c r="J281" s="36"/>
      <c r="K281" s="31"/>
      <c r="L281" s="7" t="s">
        <v>460</v>
      </c>
    </row>
    <row r="282" spans="1:17">
      <c r="A282">
        <v>6</v>
      </c>
      <c r="B282" s="16" t="s">
        <v>32</v>
      </c>
      <c r="C282" s="2"/>
      <c r="D282" s="3" t="s">
        <v>461</v>
      </c>
      <c r="E282" s="14" t="s">
        <v>31</v>
      </c>
      <c r="F282" s="3"/>
      <c r="G282" s="36"/>
      <c r="H282" s="36"/>
      <c r="I282" s="36"/>
      <c r="J282" s="36"/>
      <c r="K282" s="31"/>
      <c r="L282" s="7"/>
    </row>
    <row r="283" spans="1:17">
      <c r="A283">
        <v>7</v>
      </c>
      <c r="B283" s="16" t="s">
        <v>89</v>
      </c>
      <c r="C283" s="2"/>
      <c r="D283" s="3" t="s">
        <v>462</v>
      </c>
      <c r="E283" s="14" t="s">
        <v>31</v>
      </c>
      <c r="F283" s="3"/>
      <c r="G283" s="36"/>
      <c r="H283" s="36"/>
      <c r="I283" s="36"/>
      <c r="J283" s="36"/>
      <c r="K283" s="31"/>
      <c r="L283" s="7"/>
    </row>
    <row r="284" spans="1:17">
      <c r="A284">
        <v>8</v>
      </c>
      <c r="B284" s="16" t="s">
        <v>463</v>
      </c>
      <c r="C284" s="2"/>
      <c r="D284" s="3" t="s">
        <v>464</v>
      </c>
      <c r="E284" s="14" t="s">
        <v>31</v>
      </c>
      <c r="F284" s="3"/>
      <c r="G284" s="36"/>
      <c r="H284" s="36"/>
      <c r="I284" s="36"/>
      <c r="J284" s="36"/>
      <c r="K284" s="31"/>
      <c r="L284" s="7" t="s">
        <v>465</v>
      </c>
    </row>
    <row r="285" spans="1:17">
      <c r="A285">
        <v>9</v>
      </c>
      <c r="B285" s="16" t="s">
        <v>438</v>
      </c>
      <c r="C285" s="2"/>
      <c r="D285" s="3" t="s">
        <v>439</v>
      </c>
      <c r="E285" s="14" t="s">
        <v>31</v>
      </c>
      <c r="F285" s="3"/>
      <c r="G285" s="36"/>
      <c r="H285" s="36"/>
      <c r="I285" s="36"/>
      <c r="J285" s="36"/>
      <c r="K285" s="31"/>
      <c r="L285" s="7"/>
    </row>
    <row r="286" spans="1:17">
      <c r="A286">
        <v>10</v>
      </c>
      <c r="B286" s="16" t="s">
        <v>466</v>
      </c>
      <c r="C286" s="2"/>
      <c r="D286" s="3" t="s">
        <v>467</v>
      </c>
      <c r="E286" s="14" t="s">
        <v>31</v>
      </c>
      <c r="F286" s="3"/>
      <c r="G286" s="36"/>
      <c r="H286" s="36"/>
      <c r="I286" s="36"/>
      <c r="J286" s="36"/>
      <c r="K286" s="31"/>
      <c r="L286" s="7" t="s">
        <v>468</v>
      </c>
    </row>
    <row r="287" spans="1:17">
      <c r="A287">
        <v>11</v>
      </c>
      <c r="B287" s="16" t="s">
        <v>469</v>
      </c>
      <c r="C287" s="2"/>
      <c r="D287" s="3" t="s">
        <v>470</v>
      </c>
      <c r="E287" s="14" t="s">
        <v>212</v>
      </c>
      <c r="F287" s="3"/>
      <c r="G287" s="36"/>
      <c r="H287" s="36"/>
      <c r="I287" s="36"/>
      <c r="J287" s="36"/>
      <c r="K287" s="31"/>
      <c r="L287" s="7" t="s">
        <v>471</v>
      </c>
    </row>
    <row r="288" spans="1:17">
      <c r="A288">
        <v>12</v>
      </c>
      <c r="B288" s="16" t="s">
        <v>128</v>
      </c>
      <c r="C288" s="2"/>
      <c r="D288" s="3" t="s">
        <v>17</v>
      </c>
      <c r="E288" s="14" t="s">
        <v>31</v>
      </c>
      <c r="F288" s="3"/>
      <c r="G288" s="36"/>
      <c r="H288" s="36"/>
      <c r="I288" s="36"/>
      <c r="J288" s="36"/>
      <c r="K288" s="31"/>
      <c r="L288" s="7"/>
    </row>
    <row r="289" spans="1:14" ht="19.5" thickBot="1">
      <c r="A289">
        <v>13</v>
      </c>
      <c r="B289" s="17" t="s">
        <v>57</v>
      </c>
      <c r="C289" s="18"/>
      <c r="D289" s="8" t="s">
        <v>56</v>
      </c>
      <c r="E289" s="15" t="s">
        <v>42</v>
      </c>
      <c r="F289" s="8"/>
      <c r="G289" s="37"/>
      <c r="H289" s="37" t="s">
        <v>405</v>
      </c>
      <c r="I289" s="37"/>
      <c r="J289" s="37" t="b">
        <v>1</v>
      </c>
      <c r="K289" s="38"/>
      <c r="L289" s="9"/>
    </row>
    <row r="290" spans="1:14" ht="19.5" thickTop="1">
      <c r="J290" s="43"/>
    </row>
    <row r="291" spans="1:14">
      <c r="B291" t="str">
        <f>HYPERLINK("#'テーブル設計'!B2","テーブル一覧")</f>
        <v>テーブル一覧</v>
      </c>
    </row>
    <row r="292" spans="1:14" ht="19.5" thickBot="1"/>
    <row r="293" spans="1:14" ht="19.5" thickTop="1">
      <c r="B293" s="19" t="s">
        <v>21</v>
      </c>
      <c r="C293" s="4"/>
      <c r="D293" s="5" t="s">
        <v>451</v>
      </c>
      <c r="E293" s="6"/>
      <c r="F293" s="24" t="s">
        <v>455</v>
      </c>
      <c r="M293" t="str">
        <f>+D293</f>
        <v>ifc_port_connections</v>
      </c>
      <c r="N293">
        <v>293</v>
      </c>
    </row>
    <row r="294" spans="1:14" ht="19.5" thickBot="1">
      <c r="B294" s="17" t="s">
        <v>22</v>
      </c>
      <c r="C294" s="15"/>
      <c r="D294" s="76" t="s">
        <v>490</v>
      </c>
      <c r="E294" s="20"/>
    </row>
    <row r="295" spans="1:14" ht="19.5" thickTop="1"/>
    <row r="296" spans="1:14">
      <c r="B296" s="1" t="s">
        <v>23</v>
      </c>
      <c r="C296" s="14"/>
    </row>
    <row r="297" spans="1:14">
      <c r="C297" t="s">
        <v>484</v>
      </c>
    </row>
    <row r="301" spans="1:14">
      <c r="B301" s="1" t="s">
        <v>24</v>
      </c>
      <c r="C301" s="14"/>
    </row>
    <row r="302" spans="1:14">
      <c r="C302" t="s">
        <v>25</v>
      </c>
    </row>
    <row r="304" spans="1:14">
      <c r="B304" s="1" t="s">
        <v>26</v>
      </c>
      <c r="C304" s="14"/>
    </row>
    <row r="305" spans="2:17">
      <c r="C305" s="10"/>
    </row>
    <row r="310" spans="2:17">
      <c r="B310" s="1" t="s">
        <v>49</v>
      </c>
      <c r="C310" s="14"/>
    </row>
    <row r="311" spans="2:17">
      <c r="C311" s="24" t="s">
        <v>494</v>
      </c>
    </row>
    <row r="319" spans="2:17" ht="19.5" thickBot="1"/>
    <row r="320" spans="2:17" ht="19.5" thickTop="1">
      <c r="B320" s="90" t="s">
        <v>2</v>
      </c>
      <c r="C320" s="91"/>
      <c r="D320" s="11" t="s">
        <v>3</v>
      </c>
      <c r="E320" s="13" t="s">
        <v>4</v>
      </c>
      <c r="F320" s="35" t="s">
        <v>5</v>
      </c>
      <c r="G320" s="35" t="s">
        <v>7</v>
      </c>
      <c r="H320" s="35" t="s">
        <v>27</v>
      </c>
      <c r="I320" s="35" t="s">
        <v>47</v>
      </c>
      <c r="J320" s="11" t="s">
        <v>14</v>
      </c>
      <c r="K320" s="11" t="s">
        <v>15</v>
      </c>
      <c r="L320" s="12" t="s">
        <v>17</v>
      </c>
      <c r="P320" s="29"/>
      <c r="Q320" s="28"/>
    </row>
    <row r="321" spans="1:14">
      <c r="A321">
        <v>1</v>
      </c>
      <c r="B321" s="16" t="s">
        <v>25</v>
      </c>
      <c r="C321" s="2"/>
      <c r="D321" s="3" t="s">
        <v>472</v>
      </c>
      <c r="E321" s="14" t="s">
        <v>29</v>
      </c>
      <c r="F321" s="3" t="s">
        <v>405</v>
      </c>
      <c r="G321" s="36"/>
      <c r="H321" s="36" t="s">
        <v>405</v>
      </c>
      <c r="I321" s="36"/>
      <c r="J321" s="36"/>
      <c r="K321" s="31"/>
      <c r="L321" s="7" t="s">
        <v>219</v>
      </c>
    </row>
    <row r="322" spans="1:14">
      <c r="A322">
        <v>2</v>
      </c>
      <c r="B322" s="16" t="s">
        <v>341</v>
      </c>
      <c r="C322" s="2"/>
      <c r="D322" s="3" t="s">
        <v>430</v>
      </c>
      <c r="E322" s="14" t="s">
        <v>29</v>
      </c>
      <c r="F322" s="3"/>
      <c r="G322" s="36" t="s">
        <v>405</v>
      </c>
      <c r="H322" s="36" t="s">
        <v>405</v>
      </c>
      <c r="I322" s="36"/>
      <c r="J322" s="36"/>
      <c r="K322" s="31" t="s">
        <v>431</v>
      </c>
      <c r="L322" s="7"/>
    </row>
    <row r="323" spans="1:14">
      <c r="A323">
        <v>3</v>
      </c>
      <c r="B323" s="16" t="s">
        <v>473</v>
      </c>
      <c r="C323" s="2"/>
      <c r="D323" s="3" t="s">
        <v>474</v>
      </c>
      <c r="E323" s="14" t="s">
        <v>31</v>
      </c>
      <c r="F323" s="3"/>
      <c r="G323" s="36"/>
      <c r="H323" s="36"/>
      <c r="I323" s="36"/>
      <c r="J323" s="36"/>
      <c r="K323" s="31"/>
      <c r="L323" s="7" t="s">
        <v>475</v>
      </c>
    </row>
    <row r="324" spans="1:14">
      <c r="A324">
        <v>4</v>
      </c>
      <c r="B324" s="16" t="s">
        <v>476</v>
      </c>
      <c r="C324" s="2"/>
      <c r="D324" s="3" t="s">
        <v>477</v>
      </c>
      <c r="E324" s="14" t="s">
        <v>29</v>
      </c>
      <c r="F324" s="3"/>
      <c r="G324" s="36" t="s">
        <v>405</v>
      </c>
      <c r="H324" s="36" t="s">
        <v>405</v>
      </c>
      <c r="I324" s="36"/>
      <c r="J324" s="36"/>
      <c r="K324" s="31" t="s">
        <v>478</v>
      </c>
      <c r="L324" s="7"/>
    </row>
    <row r="325" spans="1:14">
      <c r="A325">
        <v>5</v>
      </c>
      <c r="B325" s="16" t="s">
        <v>479</v>
      </c>
      <c r="C325" s="2"/>
      <c r="D325" s="3" t="s">
        <v>480</v>
      </c>
      <c r="E325" s="14" t="s">
        <v>29</v>
      </c>
      <c r="F325" s="3"/>
      <c r="G325" s="36" t="s">
        <v>405</v>
      </c>
      <c r="H325" s="36" t="s">
        <v>405</v>
      </c>
      <c r="I325" s="36"/>
      <c r="J325" s="36"/>
      <c r="K325" s="31" t="s">
        <v>478</v>
      </c>
      <c r="L325" s="7"/>
    </row>
    <row r="326" spans="1:14">
      <c r="A326">
        <v>6</v>
      </c>
      <c r="B326" s="16" t="s">
        <v>481</v>
      </c>
      <c r="C326" s="2"/>
      <c r="D326" s="3" t="s">
        <v>482</v>
      </c>
      <c r="E326" s="14" t="s">
        <v>31</v>
      </c>
      <c r="F326" s="3"/>
      <c r="G326" s="36"/>
      <c r="H326" s="36"/>
      <c r="I326" s="36"/>
      <c r="J326" s="36"/>
      <c r="K326" s="31"/>
      <c r="L326" s="7" t="s">
        <v>483</v>
      </c>
    </row>
    <row r="327" spans="1:14">
      <c r="A327">
        <v>7</v>
      </c>
      <c r="B327" s="16" t="s">
        <v>128</v>
      </c>
      <c r="C327" s="2"/>
      <c r="D327" s="3" t="s">
        <v>17</v>
      </c>
      <c r="E327" s="14" t="s">
        <v>31</v>
      </c>
      <c r="F327" s="3"/>
      <c r="G327" s="36"/>
      <c r="H327" s="36"/>
      <c r="I327" s="36"/>
      <c r="J327" s="36"/>
      <c r="K327" s="31"/>
      <c r="L327" s="7"/>
    </row>
    <row r="328" spans="1:14" ht="19.5" thickBot="1">
      <c r="A328">
        <v>8</v>
      </c>
      <c r="B328" s="17" t="s">
        <v>57</v>
      </c>
      <c r="C328" s="18"/>
      <c r="D328" s="8" t="s">
        <v>56</v>
      </c>
      <c r="E328" s="15" t="s">
        <v>42</v>
      </c>
      <c r="F328" s="8"/>
      <c r="G328" s="37"/>
      <c r="H328" s="37" t="s">
        <v>405</v>
      </c>
      <c r="I328" s="37"/>
      <c r="J328" s="37" t="b">
        <v>1</v>
      </c>
      <c r="K328" s="38"/>
      <c r="L328" s="9"/>
    </row>
    <row r="329" spans="1:14" ht="19.5" thickTop="1">
      <c r="J329" s="43"/>
    </row>
    <row r="330" spans="1:14">
      <c r="B330" t="str">
        <f>HYPERLINK("#'テーブル設計'!B2","テーブル一覧")</f>
        <v>テーブル一覧</v>
      </c>
    </row>
    <row r="331" spans="1:14" ht="19.5" thickBot="1"/>
    <row r="332" spans="1:14" ht="19.5" thickTop="1">
      <c r="B332" s="19" t="s">
        <v>21</v>
      </c>
      <c r="C332" s="4"/>
      <c r="D332" s="5" t="s">
        <v>68</v>
      </c>
      <c r="E332" s="6"/>
      <c r="F332" t="s">
        <v>513</v>
      </c>
      <c r="M332" t="str">
        <f t="shared" ref="M332" si="0">+D332</f>
        <v>standard_documents</v>
      </c>
      <c r="N332">
        <v>332</v>
      </c>
    </row>
    <row r="333" spans="1:14" ht="19.5" thickBot="1">
      <c r="B333" s="17" t="s">
        <v>22</v>
      </c>
      <c r="C333" s="15"/>
      <c r="D333" s="76" t="s">
        <v>406</v>
      </c>
      <c r="E333" s="20"/>
    </row>
    <row r="334" spans="1:14" ht="19.5" thickTop="1"/>
    <row r="335" spans="1:14">
      <c r="B335" s="1" t="s">
        <v>23</v>
      </c>
      <c r="C335" s="14"/>
    </row>
    <row r="336" spans="1:14">
      <c r="C336" s="24" t="s">
        <v>598</v>
      </c>
    </row>
    <row r="337" spans="2:4">
      <c r="C337" t="s">
        <v>599</v>
      </c>
    </row>
    <row r="340" spans="2:4">
      <c r="B340" s="1" t="s">
        <v>24</v>
      </c>
      <c r="C340" s="14"/>
    </row>
    <row r="341" spans="2:4">
      <c r="C341" t="s">
        <v>25</v>
      </c>
    </row>
    <row r="343" spans="2:4">
      <c r="B343" s="1" t="s">
        <v>26</v>
      </c>
      <c r="C343" s="14"/>
    </row>
    <row r="344" spans="2:4">
      <c r="C344" s="10" t="s">
        <v>596</v>
      </c>
    </row>
    <row r="345" spans="2:4">
      <c r="C345" t="s">
        <v>597</v>
      </c>
    </row>
    <row r="349" spans="2:4">
      <c r="B349" s="1" t="s">
        <v>49</v>
      </c>
      <c r="C349" s="14"/>
    </row>
    <row r="350" spans="2:4">
      <c r="C350" s="24" t="s">
        <v>99</v>
      </c>
    </row>
    <row r="351" spans="2:4">
      <c r="D351" t="s">
        <v>602</v>
      </c>
    </row>
    <row r="352" spans="2:4">
      <c r="C352" t="s">
        <v>600</v>
      </c>
    </row>
    <row r="353" spans="1:17">
      <c r="C353" t="s">
        <v>601</v>
      </c>
    </row>
    <row r="358" spans="1:17" ht="19.5" thickBot="1"/>
    <row r="359" spans="1:17" ht="19.5" thickTop="1">
      <c r="B359" s="90" t="s">
        <v>2</v>
      </c>
      <c r="C359" s="91"/>
      <c r="D359" s="11" t="s">
        <v>3</v>
      </c>
      <c r="E359" s="13" t="s">
        <v>4</v>
      </c>
      <c r="F359" s="35" t="s">
        <v>5</v>
      </c>
      <c r="G359" s="35" t="s">
        <v>7</v>
      </c>
      <c r="H359" s="35" t="s">
        <v>27</v>
      </c>
      <c r="I359" s="35" t="s">
        <v>47</v>
      </c>
      <c r="J359" s="11" t="s">
        <v>14</v>
      </c>
      <c r="K359" s="11" t="s">
        <v>15</v>
      </c>
      <c r="L359" s="12" t="s">
        <v>17</v>
      </c>
      <c r="N359" s="24" t="s">
        <v>485</v>
      </c>
      <c r="P359" s="86"/>
      <c r="Q359" s="86"/>
    </row>
    <row r="360" spans="1:17">
      <c r="A360">
        <v>1</v>
      </c>
      <c r="B360" s="16" t="s">
        <v>25</v>
      </c>
      <c r="C360" s="2"/>
      <c r="D360" s="3" t="s">
        <v>102</v>
      </c>
      <c r="E360" s="14" t="s">
        <v>29</v>
      </c>
      <c r="F360" s="3" t="s">
        <v>405</v>
      </c>
      <c r="G360" s="36"/>
      <c r="H360" s="36" t="s">
        <v>405</v>
      </c>
      <c r="I360" s="36"/>
      <c r="J360" s="36"/>
      <c r="K360" s="31"/>
      <c r="L360" s="7" t="s">
        <v>219</v>
      </c>
      <c r="P360" s="88"/>
      <c r="Q360" s="88"/>
    </row>
    <row r="361" spans="1:17">
      <c r="A361">
        <v>2</v>
      </c>
      <c r="B361" s="16" t="s">
        <v>86</v>
      </c>
      <c r="C361" s="2"/>
      <c r="D361" s="3" t="s">
        <v>103</v>
      </c>
      <c r="E361" s="14" t="s">
        <v>31</v>
      </c>
      <c r="F361" s="3"/>
      <c r="G361" s="36"/>
      <c r="H361" s="36" t="s">
        <v>405</v>
      </c>
      <c r="I361" s="36"/>
      <c r="J361" s="36"/>
      <c r="K361" s="31"/>
      <c r="L361" s="7" t="s">
        <v>499</v>
      </c>
      <c r="P361" s="88"/>
      <c r="Q361" s="88"/>
    </row>
    <row r="362" spans="1:17">
      <c r="A362">
        <v>3</v>
      </c>
      <c r="B362" s="16" t="s">
        <v>46</v>
      </c>
      <c r="C362" s="2"/>
      <c r="D362" s="3" t="s">
        <v>104</v>
      </c>
      <c r="E362" s="14" t="s">
        <v>31</v>
      </c>
      <c r="F362" s="3"/>
      <c r="G362" s="36"/>
      <c r="H362" s="36" t="s">
        <v>405</v>
      </c>
      <c r="I362" s="36"/>
      <c r="J362" s="36"/>
      <c r="K362" s="31"/>
      <c r="L362" s="7" t="s">
        <v>500</v>
      </c>
      <c r="P362" s="88"/>
      <c r="Q362" s="88"/>
    </row>
    <row r="363" spans="1:17">
      <c r="A363">
        <v>4</v>
      </c>
      <c r="B363" s="16" t="s">
        <v>105</v>
      </c>
      <c r="C363" s="2"/>
      <c r="D363" s="3" t="s">
        <v>106</v>
      </c>
      <c r="E363" s="14" t="s">
        <v>31</v>
      </c>
      <c r="F363" s="3"/>
      <c r="G363" s="36"/>
      <c r="H363" s="36" t="s">
        <v>405</v>
      </c>
      <c r="I363" s="36"/>
      <c r="J363" s="36"/>
      <c r="K363" s="31"/>
      <c r="L363" s="7" t="s">
        <v>501</v>
      </c>
      <c r="P363" s="88"/>
      <c r="Q363" s="88"/>
    </row>
    <row r="364" spans="1:17">
      <c r="A364">
        <v>5</v>
      </c>
      <c r="B364" s="65" t="s">
        <v>512</v>
      </c>
      <c r="C364" s="2"/>
      <c r="D364" s="41" t="s">
        <v>511</v>
      </c>
      <c r="E364" s="14" t="s">
        <v>31</v>
      </c>
      <c r="F364" s="3"/>
      <c r="G364" s="36"/>
      <c r="H364" s="36" t="s">
        <v>405</v>
      </c>
      <c r="I364" s="36"/>
      <c r="J364" s="36"/>
      <c r="K364" s="31"/>
      <c r="L364" s="7"/>
      <c r="P364" s="88"/>
      <c r="Q364" s="88"/>
    </row>
    <row r="365" spans="1:17">
      <c r="A365">
        <v>6</v>
      </c>
      <c r="B365" s="16" t="s">
        <v>107</v>
      </c>
      <c r="C365" s="2"/>
      <c r="D365" s="3" t="s">
        <v>595</v>
      </c>
      <c r="E365" s="14" t="s">
        <v>31</v>
      </c>
      <c r="F365" s="3"/>
      <c r="G365" s="36"/>
      <c r="H365" s="36"/>
      <c r="I365" s="36"/>
      <c r="J365" s="36"/>
      <c r="K365" s="31"/>
      <c r="L365" s="7" t="s">
        <v>502</v>
      </c>
      <c r="P365" s="88"/>
      <c r="Q365" s="88"/>
    </row>
    <row r="366" spans="1:17">
      <c r="A366">
        <v>7</v>
      </c>
      <c r="B366" s="16" t="s">
        <v>497</v>
      </c>
      <c r="C366" s="2"/>
      <c r="D366" s="41" t="s">
        <v>498</v>
      </c>
      <c r="E366" s="14" t="s">
        <v>31</v>
      </c>
      <c r="F366" s="3"/>
      <c r="G366" s="36"/>
      <c r="H366" s="36"/>
      <c r="I366" s="36"/>
      <c r="J366" s="36"/>
      <c r="K366" s="31"/>
      <c r="L366" s="7" t="s">
        <v>503</v>
      </c>
      <c r="P366" s="89"/>
      <c r="Q366" s="87"/>
    </row>
    <row r="367" spans="1:17">
      <c r="A367">
        <v>8</v>
      </c>
      <c r="B367" s="16" t="s">
        <v>108</v>
      </c>
      <c r="C367" s="2"/>
      <c r="D367" s="3" t="s">
        <v>109</v>
      </c>
      <c r="E367" s="14" t="s">
        <v>29</v>
      </c>
      <c r="F367" s="3"/>
      <c r="G367" s="36"/>
      <c r="H367" s="36"/>
      <c r="I367" s="36"/>
      <c r="J367" s="36"/>
      <c r="K367" s="31"/>
      <c r="L367" s="7" t="s">
        <v>504</v>
      </c>
      <c r="P367" s="88"/>
      <c r="Q367" s="87"/>
    </row>
    <row r="368" spans="1:17">
      <c r="A368">
        <v>9</v>
      </c>
      <c r="B368" s="16" t="s">
        <v>110</v>
      </c>
      <c r="C368" s="2"/>
      <c r="D368" s="3" t="s">
        <v>111</v>
      </c>
      <c r="E368" s="14" t="s">
        <v>31</v>
      </c>
      <c r="F368" s="3"/>
      <c r="G368" s="36"/>
      <c r="H368" s="36"/>
      <c r="I368" s="36"/>
      <c r="J368" s="36"/>
      <c r="K368" s="31"/>
      <c r="L368" s="7" t="s">
        <v>505</v>
      </c>
      <c r="P368" s="88"/>
      <c r="Q368" s="87"/>
    </row>
    <row r="369" spans="1:17">
      <c r="A369">
        <v>10</v>
      </c>
      <c r="B369" s="16" t="s">
        <v>112</v>
      </c>
      <c r="C369" s="2"/>
      <c r="D369" s="3" t="s">
        <v>113</v>
      </c>
      <c r="E369" s="14" t="s">
        <v>31</v>
      </c>
      <c r="F369" s="3"/>
      <c r="G369" s="36"/>
      <c r="H369" s="36"/>
      <c r="I369" s="36"/>
      <c r="J369" s="36"/>
      <c r="K369" s="31"/>
      <c r="L369" s="7" t="s">
        <v>507</v>
      </c>
      <c r="P369" s="88"/>
      <c r="Q369" s="87"/>
    </row>
    <row r="370" spans="1:17">
      <c r="A370">
        <v>11</v>
      </c>
      <c r="B370" s="16" t="s">
        <v>60</v>
      </c>
      <c r="C370" s="2"/>
      <c r="D370" s="3" t="s">
        <v>114</v>
      </c>
      <c r="E370" s="14" t="s">
        <v>33</v>
      </c>
      <c r="F370" s="3"/>
      <c r="G370" s="36"/>
      <c r="H370" s="36"/>
      <c r="I370" s="36"/>
      <c r="J370" s="36"/>
      <c r="K370" s="31"/>
      <c r="L370" s="7" t="s">
        <v>506</v>
      </c>
      <c r="P370" s="88"/>
      <c r="Q370" s="87"/>
    </row>
    <row r="371" spans="1:17">
      <c r="A371">
        <v>12</v>
      </c>
      <c r="B371" s="16" t="s">
        <v>43</v>
      </c>
      <c r="C371" s="2"/>
      <c r="D371" s="3" t="s">
        <v>61</v>
      </c>
      <c r="E371" s="14" t="s">
        <v>33</v>
      </c>
      <c r="F371" s="3"/>
      <c r="G371" s="36"/>
      <c r="H371" s="36"/>
      <c r="I371" s="36"/>
      <c r="J371" s="36"/>
      <c r="K371" s="31"/>
      <c r="L371" s="7"/>
      <c r="P371" s="88"/>
      <c r="Q371" s="87"/>
    </row>
    <row r="372" spans="1:17">
      <c r="A372">
        <v>13</v>
      </c>
      <c r="B372" s="16" t="s">
        <v>44</v>
      </c>
      <c r="C372" s="2"/>
      <c r="D372" s="3" t="s">
        <v>62</v>
      </c>
      <c r="E372" s="14" t="s">
        <v>33</v>
      </c>
      <c r="F372" s="3"/>
      <c r="G372" s="36"/>
      <c r="H372" s="36"/>
      <c r="I372" s="36"/>
      <c r="J372" s="36"/>
      <c r="K372" s="31"/>
      <c r="L372" s="7"/>
      <c r="P372" s="88"/>
      <c r="Q372" s="87"/>
    </row>
    <row r="373" spans="1:17">
      <c r="A373">
        <v>14</v>
      </c>
      <c r="B373" s="16" t="s">
        <v>58</v>
      </c>
      <c r="C373" s="2"/>
      <c r="D373" s="3" t="s">
        <v>59</v>
      </c>
      <c r="E373" s="14" t="s">
        <v>31</v>
      </c>
      <c r="F373" s="3"/>
      <c r="G373" s="36"/>
      <c r="H373" s="36"/>
      <c r="I373" s="36"/>
      <c r="J373" s="36"/>
      <c r="K373" s="31"/>
      <c r="L373" s="7" t="s">
        <v>508</v>
      </c>
      <c r="P373" s="88"/>
      <c r="Q373" s="87"/>
    </row>
    <row r="374" spans="1:17">
      <c r="A374">
        <v>15</v>
      </c>
      <c r="B374" s="16" t="s">
        <v>115</v>
      </c>
      <c r="C374" s="2"/>
      <c r="D374" s="3" t="s">
        <v>116</v>
      </c>
      <c r="E374" s="14" t="s">
        <v>31</v>
      </c>
      <c r="F374" s="3"/>
      <c r="G374" s="36"/>
      <c r="H374" s="36"/>
      <c r="I374" s="36"/>
      <c r="J374" s="36"/>
      <c r="K374" s="31"/>
      <c r="L374" s="7" t="s">
        <v>510</v>
      </c>
      <c r="P374" s="88"/>
      <c r="Q374" s="87"/>
    </row>
    <row r="375" spans="1:17">
      <c r="A375">
        <v>16</v>
      </c>
      <c r="B375" s="16" t="s">
        <v>117</v>
      </c>
      <c r="C375" s="2"/>
      <c r="D375" s="3" t="s">
        <v>118</v>
      </c>
      <c r="E375" s="14" t="s">
        <v>31</v>
      </c>
      <c r="F375" s="3"/>
      <c r="G375" s="36"/>
      <c r="H375" s="36"/>
      <c r="I375" s="36"/>
      <c r="J375" s="36"/>
      <c r="K375" s="31"/>
      <c r="L375" s="7" t="s">
        <v>509</v>
      </c>
      <c r="P375" s="88"/>
      <c r="Q375" s="87"/>
    </row>
    <row r="376" spans="1:17">
      <c r="A376">
        <v>17</v>
      </c>
      <c r="B376" s="16" t="s">
        <v>45</v>
      </c>
      <c r="C376" s="2"/>
      <c r="D376" s="3" t="s">
        <v>17</v>
      </c>
      <c r="E376" s="14" t="s">
        <v>31</v>
      </c>
      <c r="F376" s="36"/>
      <c r="G376" s="36"/>
      <c r="H376" s="36"/>
      <c r="I376" s="36"/>
      <c r="J376" s="30"/>
      <c r="K376" s="3"/>
      <c r="L376" s="7"/>
      <c r="P376" s="88"/>
      <c r="Q376" s="87"/>
    </row>
    <row r="377" spans="1:17" ht="19.5" thickBot="1">
      <c r="A377">
        <v>18</v>
      </c>
      <c r="B377" s="17" t="s">
        <v>57</v>
      </c>
      <c r="C377" s="18"/>
      <c r="D377" s="8" t="s">
        <v>56</v>
      </c>
      <c r="E377" s="15" t="s">
        <v>42</v>
      </c>
      <c r="F377" s="37"/>
      <c r="G377" s="37"/>
      <c r="H377" s="37" t="s">
        <v>405</v>
      </c>
      <c r="I377" s="37"/>
      <c r="J377" s="38" t="b">
        <v>1</v>
      </c>
      <c r="K377" s="8"/>
      <c r="L377" s="9"/>
      <c r="P377" s="88"/>
      <c r="Q377" s="88"/>
    </row>
    <row r="378" spans="1:17" ht="19.5" thickTop="1">
      <c r="J378" s="43"/>
      <c r="P378" s="88"/>
      <c r="Q378" s="88"/>
    </row>
    <row r="379" spans="1:17">
      <c r="B379" t="str">
        <f>HYPERLINK("#'テーブル設計'!B2","テーブル一覧")</f>
        <v>テーブル一覧</v>
      </c>
      <c r="P379" s="88"/>
      <c r="Q379" s="88"/>
    </row>
    <row r="380" spans="1:17" ht="19.5" thickBot="1"/>
    <row r="381" spans="1:17" ht="19.5" thickTop="1">
      <c r="B381" s="19" t="s">
        <v>21</v>
      </c>
      <c r="C381" s="4"/>
      <c r="D381" s="5" t="s">
        <v>514</v>
      </c>
      <c r="E381" s="6"/>
      <c r="F381" t="s">
        <v>513</v>
      </c>
      <c r="M381" t="str">
        <f>+D381</f>
        <v>standard_provisions</v>
      </c>
      <c r="N381">
        <v>381</v>
      </c>
    </row>
    <row r="382" spans="1:17" ht="19.5" thickBot="1">
      <c r="B382" s="17" t="s">
        <v>22</v>
      </c>
      <c r="C382" s="15"/>
      <c r="D382" s="21" t="s">
        <v>515</v>
      </c>
      <c r="E382" s="20"/>
    </row>
    <row r="383" spans="1:17" ht="19.5" thickTop="1"/>
    <row r="384" spans="1:17">
      <c r="B384" s="1" t="s">
        <v>23</v>
      </c>
      <c r="C384" s="14"/>
    </row>
    <row r="385" spans="2:3">
      <c r="C385" t="s">
        <v>579</v>
      </c>
    </row>
    <row r="386" spans="2:3">
      <c r="C386" t="s">
        <v>580</v>
      </c>
    </row>
    <row r="389" spans="2:3">
      <c r="B389" s="1" t="s">
        <v>24</v>
      </c>
      <c r="C389" s="14"/>
    </row>
    <row r="390" spans="2:3">
      <c r="C390" t="s">
        <v>25</v>
      </c>
    </row>
    <row r="392" spans="2:3">
      <c r="B392" s="1" t="s">
        <v>26</v>
      </c>
      <c r="C392" s="14"/>
    </row>
    <row r="393" spans="2:3">
      <c r="C393" s="10" t="s">
        <v>578</v>
      </c>
    </row>
    <row r="398" spans="2:3">
      <c r="B398" s="1" t="s">
        <v>49</v>
      </c>
      <c r="C398" s="14"/>
    </row>
    <row r="399" spans="2:3">
      <c r="C399" s="24" t="s">
        <v>581</v>
      </c>
    </row>
    <row r="400" spans="2:3">
      <c r="C400" t="s">
        <v>582</v>
      </c>
    </row>
    <row r="401" spans="1:17">
      <c r="C401" t="s">
        <v>583</v>
      </c>
    </row>
    <row r="402" spans="1:17">
      <c r="C402" t="s">
        <v>584</v>
      </c>
    </row>
    <row r="407" spans="1:17" ht="19.5" thickBot="1"/>
    <row r="408" spans="1:17" ht="19.5" thickTop="1">
      <c r="B408" s="90" t="s">
        <v>2</v>
      </c>
      <c r="C408" s="91"/>
      <c r="D408" s="11" t="s">
        <v>3</v>
      </c>
      <c r="E408" s="13" t="s">
        <v>4</v>
      </c>
      <c r="F408" s="35" t="s">
        <v>5</v>
      </c>
      <c r="G408" s="35" t="s">
        <v>7</v>
      </c>
      <c r="H408" s="35" t="s">
        <v>27</v>
      </c>
      <c r="I408" s="35" t="s">
        <v>47</v>
      </c>
      <c r="J408" s="11" t="s">
        <v>14</v>
      </c>
      <c r="K408" s="11" t="s">
        <v>15</v>
      </c>
      <c r="L408" s="12" t="s">
        <v>17</v>
      </c>
      <c r="P408" s="29"/>
      <c r="Q408" s="28"/>
    </row>
    <row r="409" spans="1:17">
      <c r="A409">
        <v>1</v>
      </c>
      <c r="B409" s="16" t="s">
        <v>25</v>
      </c>
      <c r="C409" s="2"/>
      <c r="D409" s="3" t="s">
        <v>516</v>
      </c>
      <c r="E409" s="14" t="s">
        <v>29</v>
      </c>
      <c r="F409" s="3" t="s">
        <v>405</v>
      </c>
      <c r="G409" s="36"/>
      <c r="H409" s="36" t="s">
        <v>405</v>
      </c>
      <c r="I409" s="36"/>
      <c r="J409" s="36"/>
      <c r="K409" s="31"/>
      <c r="L409" s="7" t="s">
        <v>219</v>
      </c>
    </row>
    <row r="410" spans="1:17">
      <c r="A410">
        <v>2</v>
      </c>
      <c r="B410" s="16" t="s">
        <v>120</v>
      </c>
      <c r="C410" s="2"/>
      <c r="D410" s="3" t="s">
        <v>102</v>
      </c>
      <c r="E410" s="14" t="s">
        <v>29</v>
      </c>
      <c r="F410" s="3"/>
      <c r="G410" s="36" t="s">
        <v>405</v>
      </c>
      <c r="H410" s="36" t="s">
        <v>405</v>
      </c>
      <c r="I410" s="36"/>
      <c r="J410" s="36"/>
      <c r="K410" s="31" t="s">
        <v>385</v>
      </c>
      <c r="L410" s="7" t="s">
        <v>517</v>
      </c>
    </row>
    <row r="411" spans="1:17">
      <c r="A411">
        <v>3</v>
      </c>
      <c r="B411" s="16" t="s">
        <v>518</v>
      </c>
      <c r="C411" s="2"/>
      <c r="D411" s="3" t="s">
        <v>519</v>
      </c>
      <c r="E411" s="14" t="s">
        <v>31</v>
      </c>
      <c r="F411" s="3"/>
      <c r="G411" s="36"/>
      <c r="H411" s="36" t="s">
        <v>405</v>
      </c>
      <c r="I411" s="36"/>
      <c r="J411" s="36"/>
      <c r="K411" s="31"/>
      <c r="L411" s="7" t="s">
        <v>520</v>
      </c>
    </row>
    <row r="412" spans="1:17">
      <c r="A412">
        <v>4</v>
      </c>
      <c r="B412" s="16" t="s">
        <v>521</v>
      </c>
      <c r="C412" s="2"/>
      <c r="D412" s="3" t="s">
        <v>522</v>
      </c>
      <c r="E412" s="14" t="s">
        <v>31</v>
      </c>
      <c r="F412" s="3"/>
      <c r="G412" s="36"/>
      <c r="H412" s="36" t="s">
        <v>405</v>
      </c>
      <c r="I412" s="36"/>
      <c r="J412" s="36"/>
      <c r="K412" s="31"/>
      <c r="L412" s="7" t="s">
        <v>523</v>
      </c>
    </row>
    <row r="413" spans="1:17">
      <c r="A413">
        <v>5</v>
      </c>
      <c r="B413" s="16" t="s">
        <v>524</v>
      </c>
      <c r="C413" s="2"/>
      <c r="D413" s="3" t="s">
        <v>525</v>
      </c>
      <c r="E413" s="14" t="s">
        <v>31</v>
      </c>
      <c r="F413" s="3"/>
      <c r="G413" s="36"/>
      <c r="H413" s="36"/>
      <c r="I413" s="36"/>
      <c r="J413" s="36"/>
      <c r="K413" s="31"/>
      <c r="L413" s="7" t="s">
        <v>526</v>
      </c>
    </row>
    <row r="414" spans="1:17">
      <c r="A414">
        <v>6</v>
      </c>
      <c r="B414" s="16" t="s">
        <v>527</v>
      </c>
      <c r="C414" s="2"/>
      <c r="D414" s="3" t="s">
        <v>528</v>
      </c>
      <c r="E414" s="14" t="s">
        <v>31</v>
      </c>
      <c r="F414" s="3"/>
      <c r="G414" s="36"/>
      <c r="H414" s="36"/>
      <c r="I414" s="36"/>
      <c r="J414" s="36"/>
      <c r="K414" s="31"/>
      <c r="L414" s="7" t="s">
        <v>529</v>
      </c>
    </row>
    <row r="415" spans="1:17">
      <c r="A415">
        <v>7</v>
      </c>
      <c r="B415" s="16" t="s">
        <v>105</v>
      </c>
      <c r="C415" s="2"/>
      <c r="D415" s="3" t="s">
        <v>530</v>
      </c>
      <c r="E415" s="14" t="s">
        <v>31</v>
      </c>
      <c r="F415" s="3"/>
      <c r="G415" s="36"/>
      <c r="H415" s="36" t="s">
        <v>405</v>
      </c>
      <c r="I415" s="36"/>
      <c r="J415" s="36"/>
      <c r="K415" s="31"/>
      <c r="L415" s="7" t="s">
        <v>531</v>
      </c>
    </row>
    <row r="416" spans="1:17">
      <c r="A416">
        <v>8</v>
      </c>
      <c r="B416" s="16" t="s">
        <v>240</v>
      </c>
      <c r="C416" s="2"/>
      <c r="D416" s="3" t="s">
        <v>241</v>
      </c>
      <c r="E416" s="14" t="s">
        <v>29</v>
      </c>
      <c r="F416" s="3"/>
      <c r="G416" s="36"/>
      <c r="H416" s="36"/>
      <c r="I416" s="36"/>
      <c r="J416" s="36"/>
      <c r="K416" s="31"/>
      <c r="L416" s="7" t="s">
        <v>532</v>
      </c>
    </row>
    <row r="417" spans="1:14">
      <c r="A417">
        <v>9</v>
      </c>
      <c r="B417" s="16" t="s">
        <v>533</v>
      </c>
      <c r="C417" s="2"/>
      <c r="D417" s="3" t="s">
        <v>534</v>
      </c>
      <c r="E417" s="14" t="s">
        <v>31</v>
      </c>
      <c r="F417" s="3"/>
      <c r="G417" s="36"/>
      <c r="H417" s="36"/>
      <c r="I417" s="36"/>
      <c r="J417" s="36"/>
      <c r="K417" s="31"/>
      <c r="L417" s="7" t="s">
        <v>535</v>
      </c>
    </row>
    <row r="418" spans="1:14">
      <c r="A418">
        <v>10</v>
      </c>
      <c r="B418" s="16" t="s">
        <v>536</v>
      </c>
      <c r="C418" s="2"/>
      <c r="D418" s="3" t="s">
        <v>537</v>
      </c>
      <c r="E418" s="14" t="s">
        <v>31</v>
      </c>
      <c r="F418" s="3"/>
      <c r="G418" s="36"/>
      <c r="H418" s="36"/>
      <c r="I418" s="36"/>
      <c r="J418" s="36"/>
      <c r="K418" s="31"/>
      <c r="L418" s="7" t="s">
        <v>538</v>
      </c>
    </row>
    <row r="419" spans="1:14">
      <c r="A419">
        <v>11</v>
      </c>
      <c r="B419" s="16" t="s">
        <v>45</v>
      </c>
      <c r="C419" s="2"/>
      <c r="D419" s="3" t="s">
        <v>17</v>
      </c>
      <c r="E419" s="14" t="s">
        <v>31</v>
      </c>
      <c r="F419" s="3"/>
      <c r="G419" s="36"/>
      <c r="H419" s="36"/>
      <c r="I419" s="36"/>
      <c r="J419" s="36"/>
      <c r="K419" s="31"/>
      <c r="L419" s="7"/>
    </row>
    <row r="420" spans="1:14" ht="19.5" thickBot="1">
      <c r="A420">
        <v>12</v>
      </c>
      <c r="B420" s="17" t="s">
        <v>57</v>
      </c>
      <c r="C420" s="18"/>
      <c r="D420" s="8" t="s">
        <v>56</v>
      </c>
      <c r="E420" s="15" t="s">
        <v>42</v>
      </c>
      <c r="F420" s="8"/>
      <c r="G420" s="37"/>
      <c r="H420" s="37" t="s">
        <v>405</v>
      </c>
      <c r="I420" s="37"/>
      <c r="J420" s="37" t="b">
        <v>1</v>
      </c>
      <c r="K420" s="38"/>
      <c r="L420" s="9"/>
    </row>
    <row r="421" spans="1:14" ht="19.5" thickTop="1">
      <c r="J421" s="43"/>
    </row>
    <row r="422" spans="1:14">
      <c r="B422" t="str">
        <f>HYPERLINK("#'テーブル設計'!B2","テーブル一覧")</f>
        <v>テーブル一覧</v>
      </c>
    </row>
    <row r="423" spans="1:14" ht="19.5" thickBot="1"/>
    <row r="424" spans="1:14" ht="19.5" thickTop="1">
      <c r="B424" s="19" t="s">
        <v>21</v>
      </c>
      <c r="C424" s="4"/>
      <c r="D424" s="5" t="s">
        <v>540</v>
      </c>
      <c r="E424" s="6"/>
      <c r="F424" t="s">
        <v>539</v>
      </c>
      <c r="M424" t="str">
        <f>+D424</f>
        <v>structured_specification_rules</v>
      </c>
      <c r="N424">
        <v>424</v>
      </c>
    </row>
    <row r="425" spans="1:14" ht="19.5" thickBot="1">
      <c r="B425" s="17" t="s">
        <v>22</v>
      </c>
      <c r="C425" s="15"/>
      <c r="D425" s="21" t="s">
        <v>541</v>
      </c>
      <c r="E425" s="20"/>
    </row>
    <row r="426" spans="1:14" ht="19.5" thickTop="1"/>
    <row r="427" spans="1:14">
      <c r="B427" s="1" t="s">
        <v>23</v>
      </c>
      <c r="C427" s="14"/>
    </row>
    <row r="428" spans="1:14">
      <c r="C428" t="s">
        <v>585</v>
      </c>
    </row>
    <row r="429" spans="1:14">
      <c r="C429" t="s">
        <v>586</v>
      </c>
    </row>
    <row r="432" spans="1:14">
      <c r="B432" s="1" t="s">
        <v>24</v>
      </c>
      <c r="C432" s="14"/>
    </row>
    <row r="433" spans="2:3">
      <c r="C433" t="s">
        <v>25</v>
      </c>
    </row>
    <row r="435" spans="2:3">
      <c r="B435" s="1" t="s">
        <v>26</v>
      </c>
      <c r="C435" s="14"/>
    </row>
    <row r="436" spans="2:3">
      <c r="C436" s="10"/>
    </row>
    <row r="441" spans="2:3">
      <c r="B441" s="1" t="s">
        <v>49</v>
      </c>
      <c r="C441" s="14"/>
    </row>
    <row r="442" spans="2:3">
      <c r="C442" s="24" t="s">
        <v>587</v>
      </c>
    </row>
    <row r="443" spans="2:3">
      <c r="C443" t="s">
        <v>588</v>
      </c>
    </row>
    <row r="444" spans="2:3">
      <c r="C444" t="s">
        <v>589</v>
      </c>
    </row>
    <row r="445" spans="2:3">
      <c r="C445" t="s">
        <v>590</v>
      </c>
    </row>
    <row r="446" spans="2:3">
      <c r="C446" t="s">
        <v>591</v>
      </c>
    </row>
    <row r="447" spans="2:3">
      <c r="C447" t="s">
        <v>592</v>
      </c>
    </row>
    <row r="448" spans="2:3">
      <c r="C448" s="24" t="s">
        <v>603</v>
      </c>
    </row>
    <row r="450" spans="1:17" ht="19.5" thickBot="1"/>
    <row r="451" spans="1:17" ht="19.5" thickTop="1">
      <c r="B451" s="90" t="s">
        <v>2</v>
      </c>
      <c r="C451" s="91"/>
      <c r="D451" s="11" t="s">
        <v>3</v>
      </c>
      <c r="E451" s="13" t="s">
        <v>4</v>
      </c>
      <c r="F451" s="35" t="s">
        <v>5</v>
      </c>
      <c r="G451" s="35" t="s">
        <v>7</v>
      </c>
      <c r="H451" s="35" t="s">
        <v>27</v>
      </c>
      <c r="I451" s="35" t="s">
        <v>47</v>
      </c>
      <c r="J451" s="11" t="s">
        <v>14</v>
      </c>
      <c r="K451" s="11" t="s">
        <v>15</v>
      </c>
      <c r="L451" s="12" t="s">
        <v>17</v>
      </c>
      <c r="P451" s="29"/>
      <c r="Q451" s="28"/>
    </row>
    <row r="452" spans="1:17">
      <c r="A452">
        <v>1</v>
      </c>
      <c r="B452" s="16" t="s">
        <v>25</v>
      </c>
      <c r="C452" s="2"/>
      <c r="D452" s="3" t="s">
        <v>542</v>
      </c>
      <c r="E452" s="14" t="s">
        <v>29</v>
      </c>
      <c r="F452" s="3" t="s">
        <v>405</v>
      </c>
      <c r="G452" s="36"/>
      <c r="H452" s="36" t="s">
        <v>405</v>
      </c>
      <c r="I452" s="36"/>
      <c r="J452" s="36"/>
      <c r="K452" s="31"/>
      <c r="L452" s="7" t="s">
        <v>219</v>
      </c>
    </row>
    <row r="453" spans="1:17">
      <c r="A453">
        <v>2</v>
      </c>
      <c r="B453" s="16" t="s">
        <v>543</v>
      </c>
      <c r="C453" s="2"/>
      <c r="D453" s="3" t="s">
        <v>516</v>
      </c>
      <c r="E453" s="14" t="s">
        <v>29</v>
      </c>
      <c r="F453" s="3"/>
      <c r="G453" s="36" t="s">
        <v>405</v>
      </c>
      <c r="H453" s="36" t="s">
        <v>405</v>
      </c>
      <c r="I453" s="36"/>
      <c r="J453" s="36"/>
      <c r="K453" s="31" t="s">
        <v>544</v>
      </c>
      <c r="L453" s="7" t="s">
        <v>529</v>
      </c>
    </row>
    <row r="454" spans="1:17">
      <c r="A454">
        <v>3</v>
      </c>
      <c r="B454" s="16" t="s">
        <v>545</v>
      </c>
      <c r="C454" s="2"/>
      <c r="D454" s="3" t="s">
        <v>546</v>
      </c>
      <c r="E454" s="14" t="s">
        <v>29</v>
      </c>
      <c r="F454" s="3"/>
      <c r="G454" s="36"/>
      <c r="H454" s="36" t="s">
        <v>405</v>
      </c>
      <c r="I454" s="36"/>
      <c r="J454" s="36"/>
      <c r="K454" s="31"/>
      <c r="L454" s="7" t="s">
        <v>547</v>
      </c>
    </row>
    <row r="455" spans="1:17">
      <c r="A455">
        <v>4</v>
      </c>
      <c r="B455" s="16" t="s">
        <v>548</v>
      </c>
      <c r="C455" s="2"/>
      <c r="D455" s="3" t="s">
        <v>549</v>
      </c>
      <c r="E455" s="14" t="s">
        <v>31</v>
      </c>
      <c r="F455" s="3"/>
      <c r="G455" s="36"/>
      <c r="H455" s="36" t="s">
        <v>405</v>
      </c>
      <c r="I455" s="36"/>
      <c r="J455" s="36"/>
      <c r="K455" s="31"/>
      <c r="L455" s="7" t="s">
        <v>550</v>
      </c>
    </row>
    <row r="456" spans="1:17">
      <c r="A456">
        <v>5</v>
      </c>
      <c r="B456" s="16" t="s">
        <v>194</v>
      </c>
      <c r="C456" s="2"/>
      <c r="D456" s="3" t="s">
        <v>551</v>
      </c>
      <c r="E456" s="14" t="s">
        <v>31</v>
      </c>
      <c r="F456" s="3"/>
      <c r="G456" s="36"/>
      <c r="H456" s="36" t="s">
        <v>405</v>
      </c>
      <c r="I456" s="36"/>
      <c r="J456" s="36"/>
      <c r="K456" s="31"/>
      <c r="L456" s="7" t="s">
        <v>552</v>
      </c>
    </row>
    <row r="457" spans="1:17">
      <c r="A457">
        <v>6</v>
      </c>
      <c r="B457" s="16" t="s">
        <v>553</v>
      </c>
      <c r="C457" s="2"/>
      <c r="D457" s="3" t="s">
        <v>554</v>
      </c>
      <c r="E457" s="14" t="s">
        <v>31</v>
      </c>
      <c r="F457" s="3"/>
      <c r="G457" s="36"/>
      <c r="H457" s="36"/>
      <c r="I457" s="36"/>
      <c r="J457" s="36"/>
      <c r="K457" s="31"/>
      <c r="L457" s="7" t="s">
        <v>555</v>
      </c>
    </row>
    <row r="458" spans="1:17">
      <c r="A458">
        <v>7</v>
      </c>
      <c r="B458" s="16" t="s">
        <v>556</v>
      </c>
      <c r="C458" s="2"/>
      <c r="D458" s="3" t="s">
        <v>557</v>
      </c>
      <c r="E458" s="14" t="s">
        <v>31</v>
      </c>
      <c r="F458" s="3"/>
      <c r="G458" s="36"/>
      <c r="H458" s="36"/>
      <c r="I458" s="36"/>
      <c r="J458" s="36"/>
      <c r="K458" s="31"/>
      <c r="L458" s="7" t="s">
        <v>558</v>
      </c>
    </row>
    <row r="459" spans="1:17">
      <c r="A459">
        <v>8</v>
      </c>
      <c r="B459" s="16" t="s">
        <v>559</v>
      </c>
      <c r="C459" s="2"/>
      <c r="D459" s="3" t="s">
        <v>560</v>
      </c>
      <c r="E459" s="14" t="s">
        <v>31</v>
      </c>
      <c r="F459" s="3"/>
      <c r="G459" s="36"/>
      <c r="H459" s="36"/>
      <c r="I459" s="36"/>
      <c r="J459" s="36"/>
      <c r="K459" s="31"/>
      <c r="L459" s="7" t="s">
        <v>561</v>
      </c>
    </row>
    <row r="460" spans="1:17">
      <c r="A460">
        <v>9</v>
      </c>
      <c r="B460" s="16" t="s">
        <v>562</v>
      </c>
      <c r="C460" s="2"/>
      <c r="D460" s="3" t="s">
        <v>563</v>
      </c>
      <c r="E460" s="14" t="s">
        <v>31</v>
      </c>
      <c r="F460" s="3"/>
      <c r="G460" s="36"/>
      <c r="H460" s="36"/>
      <c r="I460" s="36"/>
      <c r="J460" s="36"/>
      <c r="K460" s="31"/>
      <c r="L460" s="7" t="s">
        <v>564</v>
      </c>
    </row>
    <row r="461" spans="1:17">
      <c r="A461">
        <v>10</v>
      </c>
      <c r="B461" s="16" t="s">
        <v>565</v>
      </c>
      <c r="C461" s="2"/>
      <c r="D461" s="3" t="s">
        <v>566</v>
      </c>
      <c r="E461" s="14" t="s">
        <v>31</v>
      </c>
      <c r="F461" s="3"/>
      <c r="G461" s="36"/>
      <c r="H461" s="36"/>
      <c r="I461" s="36"/>
      <c r="J461" s="36"/>
      <c r="K461" s="31"/>
      <c r="L461" s="7" t="s">
        <v>567</v>
      </c>
    </row>
    <row r="462" spans="1:17">
      <c r="A462">
        <v>11</v>
      </c>
      <c r="B462" s="16" t="s">
        <v>568</v>
      </c>
      <c r="C462" s="2"/>
      <c r="D462" s="3" t="s">
        <v>569</v>
      </c>
      <c r="E462" s="14" t="s">
        <v>31</v>
      </c>
      <c r="F462" s="3"/>
      <c r="G462" s="36"/>
      <c r="H462" s="36"/>
      <c r="I462" s="36"/>
      <c r="J462" s="36"/>
      <c r="K462" s="31"/>
      <c r="L462" s="7" t="s">
        <v>570</v>
      </c>
    </row>
    <row r="463" spans="1:17">
      <c r="A463">
        <v>12</v>
      </c>
      <c r="B463" s="16" t="s">
        <v>571</v>
      </c>
      <c r="C463" s="2"/>
      <c r="D463" s="3" t="s">
        <v>572</v>
      </c>
      <c r="E463" s="14" t="s">
        <v>31</v>
      </c>
      <c r="F463" s="3"/>
      <c r="G463" s="36"/>
      <c r="H463" s="36" t="s">
        <v>405</v>
      </c>
      <c r="I463" s="36"/>
      <c r="J463" s="36"/>
      <c r="K463" s="31"/>
      <c r="L463" s="7" t="s">
        <v>573</v>
      </c>
    </row>
    <row r="464" spans="1:17">
      <c r="A464">
        <v>13</v>
      </c>
      <c r="B464" s="16" t="s">
        <v>334</v>
      </c>
      <c r="C464" s="2"/>
      <c r="D464" s="3" t="s">
        <v>335</v>
      </c>
      <c r="E464" s="14" t="s">
        <v>31</v>
      </c>
      <c r="F464" s="3"/>
      <c r="G464" s="36"/>
      <c r="H464" s="36" t="s">
        <v>405</v>
      </c>
      <c r="I464" s="36"/>
      <c r="J464" s="36"/>
      <c r="K464" s="31"/>
      <c r="L464" s="7" t="s">
        <v>574</v>
      </c>
    </row>
    <row r="465" spans="1:14">
      <c r="A465">
        <v>14</v>
      </c>
      <c r="B465" s="16" t="s">
        <v>332</v>
      </c>
      <c r="C465" s="2"/>
      <c r="D465" s="3" t="s">
        <v>575</v>
      </c>
      <c r="E465" s="14" t="s">
        <v>212</v>
      </c>
      <c r="F465" s="3"/>
      <c r="G465" s="36"/>
      <c r="H465" s="36"/>
      <c r="I465" s="36"/>
      <c r="J465" s="36"/>
      <c r="K465" s="31"/>
      <c r="L465" s="7" t="s">
        <v>576</v>
      </c>
    </row>
    <row r="466" spans="1:14">
      <c r="A466">
        <v>15</v>
      </c>
      <c r="B466" s="16" t="s">
        <v>45</v>
      </c>
      <c r="C466" s="2"/>
      <c r="D466" s="3" t="s">
        <v>17</v>
      </c>
      <c r="E466" s="14" t="s">
        <v>31</v>
      </c>
      <c r="F466" s="3"/>
      <c r="G466" s="36"/>
      <c r="H466" s="36"/>
      <c r="I466" s="36"/>
      <c r="J466" s="36"/>
      <c r="K466" s="31"/>
      <c r="L466" s="7"/>
    </row>
    <row r="467" spans="1:14" ht="19.5" thickBot="1">
      <c r="A467">
        <v>16</v>
      </c>
      <c r="B467" s="17" t="s">
        <v>57</v>
      </c>
      <c r="C467" s="18"/>
      <c r="D467" s="8" t="s">
        <v>56</v>
      </c>
      <c r="E467" s="15" t="s">
        <v>42</v>
      </c>
      <c r="F467" s="8"/>
      <c r="G467" s="37"/>
      <c r="H467" s="37" t="s">
        <v>405</v>
      </c>
      <c r="I467" s="37"/>
      <c r="J467" s="37" t="b">
        <v>1</v>
      </c>
      <c r="K467" s="38"/>
      <c r="L467" s="9"/>
    </row>
    <row r="468" spans="1:14" ht="19.5" thickTop="1">
      <c r="J468" s="43"/>
    </row>
    <row r="469" spans="1:14">
      <c r="B469" t="str">
        <f>HYPERLINK("#'テーブル設計'!B2","テーブル一覧")</f>
        <v>テーブル一覧</v>
      </c>
    </row>
    <row r="470" spans="1:14" ht="19.5" thickBot="1"/>
    <row r="471" spans="1:14" ht="19.5" thickTop="1">
      <c r="B471" s="19" t="s">
        <v>21</v>
      </c>
      <c r="C471" s="4"/>
      <c r="D471" s="5" t="s">
        <v>292</v>
      </c>
      <c r="E471" s="6"/>
      <c r="F471" t="s">
        <v>291</v>
      </c>
      <c r="M471" t="str">
        <f t="shared" ref="M471" si="1">+D471</f>
        <v>specification_sets</v>
      </c>
      <c r="N471">
        <v>471</v>
      </c>
    </row>
    <row r="472" spans="1:14" ht="19.5" thickBot="1">
      <c r="B472" s="17" t="s">
        <v>22</v>
      </c>
      <c r="C472" s="15"/>
      <c r="D472" s="76" t="s">
        <v>403</v>
      </c>
      <c r="E472" s="20"/>
    </row>
    <row r="473" spans="1:14" ht="19.5" thickTop="1"/>
    <row r="474" spans="1:14">
      <c r="B474" s="1" t="s">
        <v>23</v>
      </c>
      <c r="C474" s="14"/>
    </row>
    <row r="475" spans="1:14">
      <c r="C475" t="s">
        <v>604</v>
      </c>
    </row>
    <row r="476" spans="1:14">
      <c r="C476" t="s">
        <v>605</v>
      </c>
    </row>
    <row r="479" spans="1:14">
      <c r="B479" s="1" t="s">
        <v>24</v>
      </c>
      <c r="C479" s="14"/>
    </row>
    <row r="480" spans="1:14">
      <c r="C480" t="s">
        <v>25</v>
      </c>
    </row>
    <row r="482" spans="2:3">
      <c r="B482" s="1" t="s">
        <v>26</v>
      </c>
      <c r="C482" s="14"/>
    </row>
    <row r="483" spans="2:3">
      <c r="C483" s="10" t="s">
        <v>606</v>
      </c>
    </row>
    <row r="484" spans="2:3">
      <c r="C484" t="s">
        <v>607</v>
      </c>
    </row>
    <row r="488" spans="2:3">
      <c r="B488" s="1" t="s">
        <v>49</v>
      </c>
      <c r="C488" s="14"/>
    </row>
    <row r="489" spans="2:3">
      <c r="C489" s="24" t="s">
        <v>424</v>
      </c>
    </row>
    <row r="490" spans="2:3">
      <c r="C490" s="24" t="s">
        <v>425</v>
      </c>
    </row>
    <row r="497" spans="1:17" ht="19.5" thickBot="1"/>
    <row r="498" spans="1:17" ht="19.5" thickTop="1">
      <c r="B498" s="90" t="s">
        <v>2</v>
      </c>
      <c r="C498" s="91"/>
      <c r="D498" s="11" t="s">
        <v>3</v>
      </c>
      <c r="E498" s="13" t="s">
        <v>4</v>
      </c>
      <c r="F498" s="35" t="s">
        <v>5</v>
      </c>
      <c r="G498" s="35" t="s">
        <v>7</v>
      </c>
      <c r="H498" s="35" t="s">
        <v>27</v>
      </c>
      <c r="I498" s="35" t="s">
        <v>47</v>
      </c>
      <c r="J498" s="11" t="s">
        <v>14</v>
      </c>
      <c r="K498" s="11" t="s">
        <v>15</v>
      </c>
      <c r="L498" s="12" t="s">
        <v>17</v>
      </c>
      <c r="P498" s="29"/>
      <c r="Q498" s="28"/>
    </row>
    <row r="499" spans="1:17">
      <c r="A499">
        <v>1</v>
      </c>
      <c r="B499" s="16" t="s">
        <v>25</v>
      </c>
      <c r="C499" s="2"/>
      <c r="D499" s="41" t="s">
        <v>408</v>
      </c>
      <c r="E499" s="14" t="s">
        <v>29</v>
      </c>
      <c r="F499" s="3" t="s">
        <v>405</v>
      </c>
      <c r="G499" s="36"/>
      <c r="H499" s="36" t="s">
        <v>405</v>
      </c>
      <c r="I499" s="36"/>
      <c r="J499" s="36"/>
      <c r="K499" s="31"/>
      <c r="L499" s="7" t="s">
        <v>219</v>
      </c>
    </row>
    <row r="500" spans="1:17">
      <c r="A500">
        <v>2</v>
      </c>
      <c r="B500" s="16" t="s">
        <v>86</v>
      </c>
      <c r="C500" s="2"/>
      <c r="D500" s="41" t="s">
        <v>409</v>
      </c>
      <c r="E500" s="27" t="s">
        <v>31</v>
      </c>
      <c r="F500" s="3"/>
      <c r="G500" s="36"/>
      <c r="H500" s="36" t="s">
        <v>405</v>
      </c>
      <c r="I500" s="36"/>
      <c r="J500" s="36"/>
      <c r="K500" s="31"/>
      <c r="L500" s="7"/>
    </row>
    <row r="501" spans="1:17">
      <c r="A501">
        <v>3</v>
      </c>
      <c r="B501" s="16" t="s">
        <v>32</v>
      </c>
      <c r="C501" s="2"/>
      <c r="D501" s="41" t="s">
        <v>410</v>
      </c>
      <c r="E501" s="27" t="s">
        <v>31</v>
      </c>
      <c r="F501" s="3"/>
      <c r="G501" s="36"/>
      <c r="H501" s="36" t="s">
        <v>405</v>
      </c>
      <c r="I501" s="36"/>
      <c r="J501" s="36"/>
      <c r="K501" s="31"/>
      <c r="L501" s="7"/>
    </row>
    <row r="502" spans="1:17">
      <c r="A502">
        <v>4</v>
      </c>
      <c r="B502" s="16" t="s">
        <v>89</v>
      </c>
      <c r="C502" s="2"/>
      <c r="D502" s="41" t="s">
        <v>411</v>
      </c>
      <c r="E502" s="27" t="s">
        <v>31</v>
      </c>
      <c r="F502" s="3"/>
      <c r="G502" s="36"/>
      <c r="H502" s="36"/>
      <c r="I502" s="36"/>
      <c r="J502" s="36"/>
      <c r="K502" s="31"/>
      <c r="L502" s="7"/>
    </row>
    <row r="503" spans="1:17">
      <c r="A503">
        <v>5</v>
      </c>
      <c r="B503" s="16" t="s">
        <v>412</v>
      </c>
      <c r="C503" s="2"/>
      <c r="D503" s="3" t="s">
        <v>413</v>
      </c>
      <c r="E503" s="14" t="s">
        <v>31</v>
      </c>
      <c r="F503" s="3"/>
      <c r="G503" s="36"/>
      <c r="H503" s="36"/>
      <c r="I503" s="36"/>
      <c r="J503" s="36"/>
      <c r="K503" s="31"/>
      <c r="L503" s="7"/>
    </row>
    <row r="504" spans="1:17">
      <c r="A504">
        <v>6</v>
      </c>
      <c r="B504" s="16" t="s">
        <v>43</v>
      </c>
      <c r="C504" s="2"/>
      <c r="D504" s="3" t="s">
        <v>61</v>
      </c>
      <c r="E504" s="14" t="s">
        <v>33</v>
      </c>
      <c r="F504" s="3"/>
      <c r="G504" s="36"/>
      <c r="H504" s="36"/>
      <c r="I504" s="36"/>
      <c r="J504" s="36"/>
      <c r="K504" s="31"/>
      <c r="L504" s="7"/>
    </row>
    <row r="505" spans="1:17">
      <c r="A505">
        <v>7</v>
      </c>
      <c r="B505" s="16" t="s">
        <v>44</v>
      </c>
      <c r="C505" s="2"/>
      <c r="D505" s="3" t="s">
        <v>62</v>
      </c>
      <c r="E505" s="14" t="s">
        <v>33</v>
      </c>
      <c r="F505" s="3"/>
      <c r="G505" s="36"/>
      <c r="H505" s="36"/>
      <c r="I505" s="36"/>
      <c r="J505" s="36"/>
      <c r="K505" s="31"/>
      <c r="L505" s="7"/>
    </row>
    <row r="506" spans="1:17">
      <c r="A506">
        <v>8</v>
      </c>
      <c r="B506" s="16" t="s">
        <v>45</v>
      </c>
      <c r="C506" s="2"/>
      <c r="D506" s="3" t="s">
        <v>17</v>
      </c>
      <c r="E506" s="14" t="s">
        <v>31</v>
      </c>
      <c r="F506" s="3"/>
      <c r="G506" s="36"/>
      <c r="H506" s="36"/>
      <c r="I506" s="36"/>
      <c r="J506" s="36"/>
      <c r="K506" s="31"/>
      <c r="L506" s="7"/>
    </row>
    <row r="507" spans="1:17" ht="19.5" thickBot="1">
      <c r="A507">
        <v>9</v>
      </c>
      <c r="B507" s="17" t="s">
        <v>57</v>
      </c>
      <c r="C507" s="18"/>
      <c r="D507" s="8" t="s">
        <v>56</v>
      </c>
      <c r="E507" s="15" t="s">
        <v>42</v>
      </c>
      <c r="F507" s="8"/>
      <c r="G507" s="37"/>
      <c r="H507" s="37" t="s">
        <v>405</v>
      </c>
      <c r="I507" s="37"/>
      <c r="J507" s="37" t="b">
        <v>1</v>
      </c>
      <c r="K507" s="38"/>
      <c r="L507" s="9"/>
    </row>
    <row r="508" spans="1:17" ht="19.5" thickTop="1">
      <c r="J508" s="43"/>
    </row>
    <row r="509" spans="1:17">
      <c r="B509" t="str">
        <f>HYPERLINK("#'テーブル設計'!B2","テーブル一覧")</f>
        <v>テーブル一覧</v>
      </c>
    </row>
    <row r="510" spans="1:17" ht="19.5" thickBot="1"/>
    <row r="511" spans="1:17" ht="19.5" thickTop="1">
      <c r="B511" s="19" t="s">
        <v>21</v>
      </c>
      <c r="C511" s="4"/>
      <c r="D511" s="5" t="s">
        <v>401</v>
      </c>
      <c r="E511" s="6"/>
      <c r="F511" s="24" t="s">
        <v>397</v>
      </c>
      <c r="M511" t="str">
        <f t="shared" ref="M511" si="2">+D511</f>
        <v>specification_set_items</v>
      </c>
      <c r="N511">
        <v>511</v>
      </c>
    </row>
    <row r="512" spans="1:17" ht="19.5" thickBot="1">
      <c r="B512" s="17" t="s">
        <v>22</v>
      </c>
      <c r="C512" s="15"/>
      <c r="D512" s="76" t="s">
        <v>402</v>
      </c>
      <c r="E512" s="20"/>
    </row>
    <row r="513" spans="2:3" ht="19.5" thickTop="1"/>
    <row r="514" spans="2:3">
      <c r="B514" s="1" t="s">
        <v>23</v>
      </c>
      <c r="C514" s="14"/>
    </row>
    <row r="515" spans="2:3">
      <c r="C515" t="s">
        <v>608</v>
      </c>
    </row>
    <row r="516" spans="2:3">
      <c r="C516" t="s">
        <v>609</v>
      </c>
    </row>
    <row r="519" spans="2:3">
      <c r="B519" s="1" t="s">
        <v>24</v>
      </c>
      <c r="C519" s="14"/>
    </row>
    <row r="520" spans="2:3">
      <c r="C520" t="s">
        <v>25</v>
      </c>
    </row>
    <row r="522" spans="2:3">
      <c r="B522" s="1" t="s">
        <v>26</v>
      </c>
      <c r="C522" s="14"/>
    </row>
    <row r="523" spans="2:3">
      <c r="C523" s="10"/>
    </row>
    <row r="528" spans="2:3">
      <c r="B528" s="1" t="s">
        <v>49</v>
      </c>
      <c r="C528" s="14"/>
    </row>
    <row r="529" spans="1:17">
      <c r="C529" s="24" t="s">
        <v>427</v>
      </c>
    </row>
    <row r="537" spans="1:17" ht="19.5" thickBot="1"/>
    <row r="538" spans="1:17" ht="19.5" thickTop="1">
      <c r="B538" s="90" t="s">
        <v>2</v>
      </c>
      <c r="C538" s="91"/>
      <c r="D538" s="11" t="s">
        <v>3</v>
      </c>
      <c r="E538" s="13" t="s">
        <v>4</v>
      </c>
      <c r="F538" s="35" t="s">
        <v>5</v>
      </c>
      <c r="G538" s="35" t="s">
        <v>7</v>
      </c>
      <c r="H538" s="35" t="s">
        <v>27</v>
      </c>
      <c r="I538" s="35" t="s">
        <v>47</v>
      </c>
      <c r="J538" s="11" t="s">
        <v>14</v>
      </c>
      <c r="K538" s="11" t="s">
        <v>15</v>
      </c>
      <c r="L538" s="12" t="s">
        <v>17</v>
      </c>
      <c r="P538" s="29"/>
      <c r="Q538" s="28"/>
    </row>
    <row r="539" spans="1:17">
      <c r="A539">
        <v>1</v>
      </c>
      <c r="B539" s="16" t="s">
        <v>25</v>
      </c>
      <c r="C539" s="2"/>
      <c r="D539" s="41" t="s">
        <v>414</v>
      </c>
      <c r="E539" s="14" t="s">
        <v>29</v>
      </c>
      <c r="F539" s="3" t="s">
        <v>405</v>
      </c>
      <c r="G539" s="36"/>
      <c r="H539" s="36" t="s">
        <v>405</v>
      </c>
      <c r="I539" s="36"/>
      <c r="J539" s="36"/>
      <c r="K539" s="31"/>
      <c r="L539" s="7" t="s">
        <v>219</v>
      </c>
    </row>
    <row r="540" spans="1:17">
      <c r="A540">
        <v>2</v>
      </c>
      <c r="B540" s="16" t="s">
        <v>415</v>
      </c>
      <c r="C540" s="2"/>
      <c r="D540" s="41" t="s">
        <v>408</v>
      </c>
      <c r="E540" s="27" t="s">
        <v>29</v>
      </c>
      <c r="F540" s="3"/>
      <c r="G540" s="36" t="s">
        <v>416</v>
      </c>
      <c r="H540" s="36" t="s">
        <v>405</v>
      </c>
      <c r="I540" s="36"/>
      <c r="J540" s="36"/>
      <c r="K540" s="31" t="s">
        <v>417</v>
      </c>
      <c r="L540" s="7"/>
    </row>
    <row r="541" spans="1:17">
      <c r="A541">
        <v>3</v>
      </c>
      <c r="B541" s="16" t="s">
        <v>120</v>
      </c>
      <c r="C541" s="2"/>
      <c r="D541" s="41" t="s">
        <v>102</v>
      </c>
      <c r="E541" s="27" t="s">
        <v>29</v>
      </c>
      <c r="F541" s="3"/>
      <c r="G541" s="36" t="s">
        <v>416</v>
      </c>
      <c r="H541" s="36" t="s">
        <v>405</v>
      </c>
      <c r="I541" s="36"/>
      <c r="J541" s="36"/>
      <c r="K541" s="31" t="s">
        <v>385</v>
      </c>
      <c r="L541" s="7"/>
    </row>
    <row r="542" spans="1:17">
      <c r="A542">
        <v>4</v>
      </c>
      <c r="B542" s="16" t="s">
        <v>418</v>
      </c>
      <c r="C542" s="2"/>
      <c r="D542" s="41" t="s">
        <v>419</v>
      </c>
      <c r="E542" s="27" t="s">
        <v>31</v>
      </c>
      <c r="F542" s="3"/>
      <c r="G542" s="36"/>
      <c r="H542" s="36"/>
      <c r="I542" s="36"/>
      <c r="J542" s="36"/>
      <c r="K542" s="31"/>
      <c r="L542" s="7"/>
    </row>
    <row r="543" spans="1:17">
      <c r="A543">
        <v>5</v>
      </c>
      <c r="B543" s="16" t="s">
        <v>420</v>
      </c>
      <c r="C543" s="2"/>
      <c r="D543" s="3" t="s">
        <v>421</v>
      </c>
      <c r="E543" s="14" t="s">
        <v>31</v>
      </c>
      <c r="F543" s="3"/>
      <c r="G543" s="36"/>
      <c r="H543" s="36"/>
      <c r="I543" s="36"/>
      <c r="J543" s="36"/>
      <c r="K543" s="31"/>
      <c r="L543" s="7"/>
    </row>
    <row r="544" spans="1:17">
      <c r="A544">
        <v>6</v>
      </c>
      <c r="B544" s="16" t="s">
        <v>123</v>
      </c>
      <c r="C544" s="2"/>
      <c r="D544" s="3" t="s">
        <v>374</v>
      </c>
      <c r="E544" s="14" t="s">
        <v>29</v>
      </c>
      <c r="F544" s="3"/>
      <c r="G544" s="36"/>
      <c r="H544" s="36" t="s">
        <v>405</v>
      </c>
      <c r="I544" s="36"/>
      <c r="J544" s="36"/>
      <c r="K544" s="31"/>
      <c r="L544" s="7" t="s">
        <v>428</v>
      </c>
    </row>
    <row r="545" spans="1:14">
      <c r="A545">
        <v>7</v>
      </c>
      <c r="B545" s="16" t="s">
        <v>121</v>
      </c>
      <c r="C545" s="2"/>
      <c r="D545" s="3" t="s">
        <v>122</v>
      </c>
      <c r="E545" s="14" t="s">
        <v>31</v>
      </c>
      <c r="F545" s="3"/>
      <c r="G545" s="36"/>
      <c r="H545" s="36" t="s">
        <v>405</v>
      </c>
      <c r="I545" s="36"/>
      <c r="J545" s="36"/>
      <c r="K545" s="31"/>
      <c r="L545" s="7"/>
    </row>
    <row r="546" spans="1:14">
      <c r="A546">
        <v>8</v>
      </c>
      <c r="B546" s="68" t="s">
        <v>45</v>
      </c>
      <c r="C546" s="10"/>
      <c r="D546" s="69" t="s">
        <v>17</v>
      </c>
      <c r="E546" s="83" t="s">
        <v>31</v>
      </c>
      <c r="F546" s="69"/>
      <c r="G546" s="70"/>
      <c r="H546" s="70"/>
      <c r="I546" s="70"/>
      <c r="J546" s="70"/>
      <c r="K546" s="71"/>
      <c r="L546" s="84"/>
    </row>
    <row r="547" spans="1:14" ht="19.5" thickBot="1">
      <c r="A547">
        <v>9</v>
      </c>
      <c r="B547" s="17" t="s">
        <v>57</v>
      </c>
      <c r="C547" s="18"/>
      <c r="D547" s="8" t="s">
        <v>56</v>
      </c>
      <c r="E547" s="15" t="s">
        <v>42</v>
      </c>
      <c r="F547" s="8"/>
      <c r="G547" s="37"/>
      <c r="H547" s="37" t="s">
        <v>405</v>
      </c>
      <c r="I547" s="37"/>
      <c r="J547" s="37" t="b">
        <v>1</v>
      </c>
      <c r="K547" s="38"/>
      <c r="L547" s="9"/>
    </row>
    <row r="548" spans="1:14" ht="19.5" thickTop="1">
      <c r="J548" s="43"/>
    </row>
    <row r="549" spans="1:14">
      <c r="B549" t="str">
        <f>HYPERLINK("#'テーブル設計'!B2","テーブル一覧")</f>
        <v>テーブル一覧</v>
      </c>
    </row>
    <row r="550" spans="1:14" ht="19.5" thickBot="1"/>
    <row r="551" spans="1:14" ht="19.5" thickTop="1">
      <c r="B551" s="19" t="s">
        <v>21</v>
      </c>
      <c r="C551" s="4"/>
      <c r="D551" s="47" t="s">
        <v>404</v>
      </c>
      <c r="E551" s="6"/>
      <c r="F551" t="s">
        <v>293</v>
      </c>
      <c r="M551" t="str">
        <f t="shared" ref="M551:M589" si="3">+D551</f>
        <v>project_specifications</v>
      </c>
      <c r="N551">
        <v>551</v>
      </c>
    </row>
    <row r="552" spans="1:14" ht="19.5" thickBot="1">
      <c r="B552" s="17" t="s">
        <v>22</v>
      </c>
      <c r="C552" s="15"/>
      <c r="D552" s="21" t="s">
        <v>399</v>
      </c>
      <c r="E552" s="20"/>
    </row>
    <row r="553" spans="1:14" ht="19.5" thickTop="1"/>
    <row r="554" spans="1:14">
      <c r="B554" s="1" t="s">
        <v>23</v>
      </c>
      <c r="C554" s="14"/>
    </row>
    <row r="555" spans="1:14">
      <c r="C555" t="s">
        <v>610</v>
      </c>
    </row>
    <row r="556" spans="1:14">
      <c r="C556" t="s">
        <v>611</v>
      </c>
    </row>
    <row r="559" spans="1:14">
      <c r="B559" s="1" t="s">
        <v>24</v>
      </c>
      <c r="C559" s="14"/>
    </row>
    <row r="560" spans="1:14">
      <c r="C560" t="s">
        <v>25</v>
      </c>
    </row>
    <row r="562" spans="2:3">
      <c r="B562" s="1" t="s">
        <v>26</v>
      </c>
      <c r="C562" s="14"/>
    </row>
    <row r="563" spans="2:3">
      <c r="C563" s="10"/>
    </row>
    <row r="568" spans="2:3">
      <c r="B568" s="1" t="s">
        <v>49</v>
      </c>
      <c r="C568" s="14"/>
    </row>
    <row r="569" spans="2:3">
      <c r="C569" s="24" t="s">
        <v>612</v>
      </c>
    </row>
    <row r="570" spans="2:3">
      <c r="C570" s="24" t="s">
        <v>613</v>
      </c>
    </row>
    <row r="571" spans="2:3">
      <c r="C571" s="24"/>
    </row>
    <row r="577" spans="1:17" ht="19.5" thickBot="1"/>
    <row r="578" spans="1:17" ht="19.5" thickTop="1">
      <c r="B578" s="90" t="s">
        <v>2</v>
      </c>
      <c r="C578" s="91"/>
      <c r="D578" s="11" t="s">
        <v>3</v>
      </c>
      <c r="E578" s="13" t="s">
        <v>4</v>
      </c>
      <c r="F578" s="35" t="s">
        <v>5</v>
      </c>
      <c r="G578" s="35" t="s">
        <v>7</v>
      </c>
      <c r="H578" s="35" t="s">
        <v>27</v>
      </c>
      <c r="I578" s="35" t="s">
        <v>47</v>
      </c>
      <c r="J578" s="11" t="s">
        <v>14</v>
      </c>
      <c r="K578" s="11" t="s">
        <v>15</v>
      </c>
      <c r="L578" s="12" t="s">
        <v>17</v>
      </c>
      <c r="P578" s="29"/>
      <c r="Q578" s="28"/>
    </row>
    <row r="579" spans="1:17">
      <c r="A579">
        <v>1</v>
      </c>
      <c r="B579" s="16" t="s">
        <v>25</v>
      </c>
      <c r="C579" s="2"/>
      <c r="D579" s="41" t="s">
        <v>422</v>
      </c>
      <c r="E579" s="14" t="s">
        <v>29</v>
      </c>
      <c r="F579" s="3" t="s">
        <v>405</v>
      </c>
      <c r="G579" s="36"/>
      <c r="H579" s="36" t="s">
        <v>405</v>
      </c>
      <c r="I579" s="36"/>
      <c r="J579" s="36"/>
      <c r="K579" s="31"/>
      <c r="L579" s="7" t="s">
        <v>219</v>
      </c>
    </row>
    <row r="580" spans="1:17">
      <c r="A580">
        <v>2</v>
      </c>
      <c r="B580" s="16" t="s">
        <v>119</v>
      </c>
      <c r="C580" s="2"/>
      <c r="D580" s="3" t="s">
        <v>100</v>
      </c>
      <c r="E580" s="14" t="s">
        <v>29</v>
      </c>
      <c r="F580" s="3"/>
      <c r="G580" s="36" t="s">
        <v>416</v>
      </c>
      <c r="H580" s="36" t="s">
        <v>405</v>
      </c>
      <c r="I580" s="36"/>
      <c r="J580" s="36"/>
      <c r="K580" s="31" t="s">
        <v>378</v>
      </c>
      <c r="L580" s="7"/>
    </row>
    <row r="581" spans="1:17">
      <c r="A581">
        <v>3</v>
      </c>
      <c r="B581" s="16" t="s">
        <v>415</v>
      </c>
      <c r="C581" s="2"/>
      <c r="D581" s="3" t="s">
        <v>408</v>
      </c>
      <c r="E581" s="14" t="s">
        <v>29</v>
      </c>
      <c r="F581" s="3"/>
      <c r="G581" s="36" t="s">
        <v>416</v>
      </c>
      <c r="H581" s="36" t="s">
        <v>405</v>
      </c>
      <c r="I581" s="36"/>
      <c r="J581" s="36"/>
      <c r="K581" s="30" t="s">
        <v>423</v>
      </c>
      <c r="L581" s="7"/>
    </row>
    <row r="582" spans="1:17">
      <c r="A582">
        <v>4</v>
      </c>
      <c r="B582" s="16" t="s">
        <v>124</v>
      </c>
      <c r="C582" s="2"/>
      <c r="D582" s="3" t="s">
        <v>125</v>
      </c>
      <c r="E582" s="14" t="s">
        <v>33</v>
      </c>
      <c r="F582" s="3"/>
      <c r="G582" s="36"/>
      <c r="H582" s="36"/>
      <c r="I582" s="36"/>
      <c r="J582" s="36"/>
      <c r="K582" s="31"/>
      <c r="L582" s="7"/>
    </row>
    <row r="583" spans="1:17">
      <c r="A583">
        <v>5</v>
      </c>
      <c r="B583" s="16" t="s">
        <v>126</v>
      </c>
      <c r="C583" s="2"/>
      <c r="D583" s="3" t="s">
        <v>127</v>
      </c>
      <c r="E583" s="14" t="s">
        <v>31</v>
      </c>
      <c r="F583" s="3"/>
      <c r="G583" s="36"/>
      <c r="H583" s="36"/>
      <c r="I583" s="36"/>
      <c r="J583" s="36"/>
      <c r="K583" s="31"/>
      <c r="L583" s="7"/>
    </row>
    <row r="584" spans="1:17">
      <c r="A584">
        <v>6</v>
      </c>
      <c r="B584" s="68" t="s">
        <v>128</v>
      </c>
      <c r="C584" s="10"/>
      <c r="D584" s="69" t="s">
        <v>17</v>
      </c>
      <c r="E584" s="83" t="s">
        <v>31</v>
      </c>
      <c r="F584" s="69"/>
      <c r="G584" s="70"/>
      <c r="H584" s="70"/>
      <c r="I584" s="70"/>
      <c r="J584" s="70"/>
      <c r="K584" s="71"/>
      <c r="L584" s="84"/>
    </row>
    <row r="585" spans="1:17" ht="19.5" thickBot="1">
      <c r="A585">
        <v>7</v>
      </c>
      <c r="B585" s="17" t="s">
        <v>57</v>
      </c>
      <c r="C585" s="18"/>
      <c r="D585" s="8" t="s">
        <v>56</v>
      </c>
      <c r="E585" s="15" t="s">
        <v>42</v>
      </c>
      <c r="F585" s="8"/>
      <c r="G585" s="37"/>
      <c r="H585" s="37" t="s">
        <v>405</v>
      </c>
      <c r="I585" s="37"/>
      <c r="J585" s="37" t="b">
        <v>1</v>
      </c>
      <c r="K585" s="38"/>
      <c r="L585" s="9"/>
    </row>
    <row r="586" spans="1:17" ht="19.5" thickTop="1">
      <c r="J586" s="43"/>
    </row>
    <row r="587" spans="1:17">
      <c r="B587" t="str">
        <f>HYPERLINK("#'テーブル設計'!B2","テーブル一覧")</f>
        <v>テーブル一覧</v>
      </c>
    </row>
    <row r="588" spans="1:17" ht="19.5" thickBot="1"/>
    <row r="589" spans="1:17" ht="19.5" thickTop="1">
      <c r="B589" s="19" t="s">
        <v>21</v>
      </c>
      <c r="C589" s="4"/>
      <c r="D589" s="5" t="s">
        <v>69</v>
      </c>
      <c r="E589" s="6"/>
      <c r="F589" t="s">
        <v>294</v>
      </c>
      <c r="M589" t="str">
        <f t="shared" si="3"/>
        <v>fluids</v>
      </c>
      <c r="N589">
        <v>589</v>
      </c>
    </row>
    <row r="590" spans="1:17" ht="19.5" thickBot="1">
      <c r="B590" s="17" t="s">
        <v>22</v>
      </c>
      <c r="C590" s="15"/>
      <c r="D590" s="21" t="s">
        <v>70</v>
      </c>
      <c r="E590" s="20"/>
    </row>
    <row r="591" spans="1:17" ht="19.5" thickTop="1"/>
    <row r="592" spans="1:17">
      <c r="B592" s="1" t="s">
        <v>23</v>
      </c>
      <c r="C592" s="14"/>
    </row>
    <row r="593" spans="2:5">
      <c r="C593" s="24" t="s">
        <v>146</v>
      </c>
    </row>
    <row r="597" spans="2:5">
      <c r="B597" s="1" t="s">
        <v>24</v>
      </c>
      <c r="C597" s="14"/>
    </row>
    <row r="598" spans="2:5">
      <c r="C598" t="s">
        <v>25</v>
      </c>
    </row>
    <row r="600" spans="2:5">
      <c r="B600" s="1" t="s">
        <v>26</v>
      </c>
      <c r="C600" s="14"/>
    </row>
    <row r="601" spans="2:5">
      <c r="C601" s="10"/>
    </row>
    <row r="606" spans="2:5">
      <c r="B606" s="1" t="s">
        <v>49</v>
      </c>
      <c r="C606" s="14"/>
    </row>
    <row r="607" spans="2:5">
      <c r="C607" s="24" t="s">
        <v>145</v>
      </c>
      <c r="D607" t="s">
        <v>129</v>
      </c>
      <c r="E607" t="s">
        <v>130</v>
      </c>
    </row>
    <row r="608" spans="2:5">
      <c r="D608" t="s">
        <v>131</v>
      </c>
      <c r="E608" t="s">
        <v>132</v>
      </c>
    </row>
    <row r="609" spans="1:17">
      <c r="D609" t="s">
        <v>133</v>
      </c>
      <c r="E609" t="s">
        <v>134</v>
      </c>
    </row>
    <row r="610" spans="1:17">
      <c r="D610" t="s">
        <v>135</v>
      </c>
      <c r="E610" t="s">
        <v>136</v>
      </c>
    </row>
    <row r="611" spans="1:17">
      <c r="D611" t="s">
        <v>137</v>
      </c>
      <c r="E611" t="s">
        <v>138</v>
      </c>
    </row>
    <row r="612" spans="1:17">
      <c r="D612" t="s">
        <v>139</v>
      </c>
      <c r="E612" t="s">
        <v>140</v>
      </c>
    </row>
    <row r="613" spans="1:17">
      <c r="D613" t="s">
        <v>141</v>
      </c>
      <c r="E613" t="s">
        <v>142</v>
      </c>
    </row>
    <row r="614" spans="1:17">
      <c r="D614" t="s">
        <v>143</v>
      </c>
      <c r="E614" t="s">
        <v>144</v>
      </c>
    </row>
    <row r="615" spans="1:17" ht="19.5" thickBot="1"/>
    <row r="616" spans="1:17" ht="19.5" thickTop="1">
      <c r="B616" s="90" t="s">
        <v>2</v>
      </c>
      <c r="C616" s="91"/>
      <c r="D616" s="11" t="s">
        <v>3</v>
      </c>
      <c r="E616" s="13" t="s">
        <v>4</v>
      </c>
      <c r="F616" s="35" t="s">
        <v>5</v>
      </c>
      <c r="G616" s="35" t="s">
        <v>7</v>
      </c>
      <c r="H616" s="35" t="s">
        <v>27</v>
      </c>
      <c r="I616" s="35" t="s">
        <v>47</v>
      </c>
      <c r="J616" s="11" t="s">
        <v>14</v>
      </c>
      <c r="K616" s="11" t="s">
        <v>15</v>
      </c>
      <c r="L616" s="12" t="s">
        <v>17</v>
      </c>
      <c r="P616" s="29"/>
      <c r="Q616" s="28"/>
    </row>
    <row r="617" spans="1:17">
      <c r="A617">
        <v>1</v>
      </c>
      <c r="B617" s="16" t="s">
        <v>25</v>
      </c>
      <c r="C617" s="2"/>
      <c r="D617" s="3" t="s">
        <v>147</v>
      </c>
      <c r="E617" s="14" t="s">
        <v>29</v>
      </c>
      <c r="F617" s="3" t="s">
        <v>30</v>
      </c>
      <c r="G617" s="36"/>
      <c r="H617" s="36" t="s">
        <v>30</v>
      </c>
      <c r="I617" s="36" t="s">
        <v>30</v>
      </c>
      <c r="J617" s="36"/>
      <c r="K617" s="31"/>
      <c r="L617" s="7" t="s">
        <v>219</v>
      </c>
    </row>
    <row r="618" spans="1:17">
      <c r="A618">
        <v>2</v>
      </c>
      <c r="B618" s="16" t="s">
        <v>86</v>
      </c>
      <c r="C618" s="2"/>
      <c r="D618" s="3" t="s">
        <v>148</v>
      </c>
      <c r="E618" s="14" t="s">
        <v>31</v>
      </c>
      <c r="F618" s="3"/>
      <c r="G618" s="36"/>
      <c r="H618" s="36" t="s">
        <v>30</v>
      </c>
      <c r="I618" s="36" t="s">
        <v>30</v>
      </c>
      <c r="J618" s="36"/>
      <c r="K618" s="31"/>
      <c r="L618" s="7"/>
    </row>
    <row r="619" spans="1:17">
      <c r="A619">
        <v>3</v>
      </c>
      <c r="B619" s="16" t="s">
        <v>32</v>
      </c>
      <c r="C619" s="2"/>
      <c r="D619" s="3" t="s">
        <v>149</v>
      </c>
      <c r="E619" s="46" t="s">
        <v>31</v>
      </c>
      <c r="F619" s="3"/>
      <c r="G619" s="36"/>
      <c r="H619" s="36"/>
      <c r="I619" s="36"/>
      <c r="J619" s="36"/>
      <c r="K619" s="31"/>
      <c r="L619" s="7"/>
    </row>
    <row r="620" spans="1:17">
      <c r="A620">
        <v>4</v>
      </c>
      <c r="B620" s="16" t="s">
        <v>150</v>
      </c>
      <c r="C620" s="2"/>
      <c r="D620" s="3" t="s">
        <v>151</v>
      </c>
      <c r="E620" s="14" t="s">
        <v>31</v>
      </c>
      <c r="F620" s="3"/>
      <c r="G620" s="36"/>
      <c r="H620" s="36"/>
      <c r="I620" s="36"/>
      <c r="J620" s="36"/>
      <c r="K620" s="31"/>
      <c r="L620" s="7"/>
    </row>
    <row r="621" spans="1:17">
      <c r="A621">
        <v>5</v>
      </c>
      <c r="B621" s="16" t="s">
        <v>89</v>
      </c>
      <c r="C621" s="2"/>
      <c r="D621" s="3" t="s">
        <v>152</v>
      </c>
      <c r="E621" s="14" t="s">
        <v>31</v>
      </c>
      <c r="F621" s="3"/>
      <c r="G621" s="36"/>
      <c r="H621" s="36"/>
      <c r="I621" s="36"/>
      <c r="J621" s="36"/>
      <c r="K621" s="31"/>
      <c r="L621" s="7"/>
    </row>
    <row r="622" spans="1:17">
      <c r="A622">
        <v>6</v>
      </c>
      <c r="B622" s="16" t="s">
        <v>153</v>
      </c>
      <c r="C622" s="2"/>
      <c r="D622" s="3" t="s">
        <v>154</v>
      </c>
      <c r="E622" s="14" t="s">
        <v>31</v>
      </c>
      <c r="F622" s="3"/>
      <c r="G622" s="36"/>
      <c r="H622" s="36"/>
      <c r="I622" s="36"/>
      <c r="J622" s="36"/>
      <c r="K622" s="31"/>
      <c r="L622" s="7"/>
    </row>
    <row r="623" spans="1:17">
      <c r="A623">
        <v>7</v>
      </c>
      <c r="B623" s="16" t="s">
        <v>155</v>
      </c>
      <c r="C623" s="2"/>
      <c r="D623" s="3" t="s">
        <v>156</v>
      </c>
      <c r="E623" s="14" t="s">
        <v>31</v>
      </c>
      <c r="F623" s="3"/>
      <c r="G623" s="36"/>
      <c r="H623" s="36"/>
      <c r="I623" s="36"/>
      <c r="J623" s="36"/>
      <c r="K623" s="31"/>
      <c r="L623" s="7"/>
    </row>
    <row r="624" spans="1:17">
      <c r="A624">
        <v>8</v>
      </c>
      <c r="B624" s="16" t="s">
        <v>157</v>
      </c>
      <c r="C624" s="2"/>
      <c r="D624" s="3" t="s">
        <v>158</v>
      </c>
      <c r="E624" s="14" t="s">
        <v>29</v>
      </c>
      <c r="F624" s="36"/>
      <c r="G624" s="36"/>
      <c r="H624" s="36"/>
      <c r="I624" s="36"/>
      <c r="J624" s="30"/>
      <c r="K624" s="3"/>
      <c r="L624" s="7"/>
    </row>
    <row r="625" spans="1:14" ht="19.5" thickBot="1">
      <c r="A625">
        <v>9</v>
      </c>
      <c r="B625" s="17" t="s">
        <v>57</v>
      </c>
      <c r="C625" s="18"/>
      <c r="D625" s="8" t="s">
        <v>56</v>
      </c>
      <c r="E625" s="15" t="s">
        <v>42</v>
      </c>
      <c r="F625" s="37"/>
      <c r="G625" s="37"/>
      <c r="H625" s="82" t="s">
        <v>426</v>
      </c>
      <c r="I625" s="37"/>
      <c r="J625" s="38" t="b">
        <v>1</v>
      </c>
      <c r="K625" s="8"/>
      <c r="L625" s="9"/>
    </row>
    <row r="626" spans="1:14" ht="19.5" thickTop="1">
      <c r="J626" s="43"/>
    </row>
    <row r="627" spans="1:14">
      <c r="B627" t="str">
        <f>HYPERLINK("#'テーブル設計'!B2","テーブル一覧")</f>
        <v>テーブル一覧</v>
      </c>
    </row>
    <row r="628" spans="1:14" ht="19.5" thickBot="1"/>
    <row r="629" spans="1:14" ht="19.5" thickTop="1">
      <c r="B629" s="19" t="s">
        <v>21</v>
      </c>
      <c r="C629" s="4"/>
      <c r="D629" s="47" t="s">
        <v>486</v>
      </c>
      <c r="E629" s="6"/>
      <c r="F629" t="s">
        <v>295</v>
      </c>
      <c r="M629" t="str">
        <f t="shared" ref="M629" si="4">+D629</f>
        <v>work_locations</v>
      </c>
      <c r="N629">
        <v>629</v>
      </c>
    </row>
    <row r="630" spans="1:14" ht="19.5" thickBot="1">
      <c r="B630" s="17" t="s">
        <v>22</v>
      </c>
      <c r="C630" s="15"/>
      <c r="D630" s="21" t="s">
        <v>296</v>
      </c>
      <c r="E630" s="20"/>
    </row>
    <row r="631" spans="1:14" ht="19.5" thickTop="1"/>
    <row r="632" spans="1:14">
      <c r="B632" s="1" t="s">
        <v>23</v>
      </c>
      <c r="C632" s="14"/>
    </row>
    <row r="633" spans="1:14">
      <c r="C633" t="s">
        <v>174</v>
      </c>
    </row>
    <row r="637" spans="1:14">
      <c r="B637" s="1" t="s">
        <v>24</v>
      </c>
      <c r="C637" s="14"/>
    </row>
    <row r="638" spans="1:14">
      <c r="C638" t="s">
        <v>25</v>
      </c>
    </row>
    <row r="640" spans="1:14">
      <c r="B640" s="1" t="s">
        <v>26</v>
      </c>
      <c r="C640" s="14"/>
    </row>
    <row r="641" spans="2:17">
      <c r="C641" s="10"/>
    </row>
    <row r="646" spans="2:17">
      <c r="B646" s="1" t="s">
        <v>49</v>
      </c>
      <c r="C646" s="14"/>
    </row>
    <row r="647" spans="2:17">
      <c r="C647" s="24" t="s">
        <v>159</v>
      </c>
    </row>
    <row r="648" spans="2:17">
      <c r="D648" t="s">
        <v>160</v>
      </c>
      <c r="E648" t="s">
        <v>161</v>
      </c>
    </row>
    <row r="649" spans="2:17">
      <c r="D649" t="s">
        <v>162</v>
      </c>
      <c r="E649" t="s">
        <v>163</v>
      </c>
    </row>
    <row r="650" spans="2:17">
      <c r="D650" t="s">
        <v>164</v>
      </c>
      <c r="E650" t="s">
        <v>165</v>
      </c>
    </row>
    <row r="651" spans="2:17">
      <c r="D651" t="s">
        <v>166</v>
      </c>
      <c r="E651" t="s">
        <v>167</v>
      </c>
    </row>
    <row r="652" spans="2:17">
      <c r="D652" t="s">
        <v>168</v>
      </c>
      <c r="E652" t="s">
        <v>169</v>
      </c>
    </row>
    <row r="653" spans="2:17">
      <c r="D653" t="s">
        <v>170</v>
      </c>
      <c r="E653" t="s">
        <v>171</v>
      </c>
    </row>
    <row r="654" spans="2:17">
      <c r="D654" t="s">
        <v>172</v>
      </c>
      <c r="E654" t="s">
        <v>173</v>
      </c>
    </row>
    <row r="655" spans="2:17" ht="19.5" thickBot="1"/>
    <row r="656" spans="2:17" ht="19.5" thickTop="1">
      <c r="B656" s="90" t="s">
        <v>2</v>
      </c>
      <c r="C656" s="91"/>
      <c r="D656" s="11" t="s">
        <v>3</v>
      </c>
      <c r="E656" s="13" t="s">
        <v>4</v>
      </c>
      <c r="F656" s="35" t="s">
        <v>5</v>
      </c>
      <c r="G656" s="35" t="s">
        <v>7</v>
      </c>
      <c r="H656" s="35" t="s">
        <v>27</v>
      </c>
      <c r="I656" s="35" t="s">
        <v>47</v>
      </c>
      <c r="J656" s="11" t="s">
        <v>14</v>
      </c>
      <c r="K656" s="11" t="s">
        <v>15</v>
      </c>
      <c r="L656" s="12" t="s">
        <v>17</v>
      </c>
      <c r="P656" s="29"/>
      <c r="Q656" s="28"/>
    </row>
    <row r="657" spans="1:14">
      <c r="A657">
        <v>1</v>
      </c>
      <c r="B657" s="16" t="s">
        <v>25</v>
      </c>
      <c r="C657" s="2"/>
      <c r="D657" s="3" t="s">
        <v>175</v>
      </c>
      <c r="E657" s="14" t="s">
        <v>29</v>
      </c>
      <c r="F657" s="3" t="s">
        <v>30</v>
      </c>
      <c r="G657" s="36"/>
      <c r="H657" s="36" t="s">
        <v>30</v>
      </c>
      <c r="I657" s="36" t="s">
        <v>30</v>
      </c>
      <c r="J657" s="36"/>
      <c r="K657" s="31"/>
      <c r="L657" s="7" t="s">
        <v>219</v>
      </c>
    </row>
    <row r="658" spans="1:14">
      <c r="A658">
        <v>2</v>
      </c>
      <c r="B658" s="16" t="s">
        <v>86</v>
      </c>
      <c r="C658" s="2"/>
      <c r="D658" s="3" t="s">
        <v>176</v>
      </c>
      <c r="E658" s="14" t="s">
        <v>31</v>
      </c>
      <c r="F658" s="3"/>
      <c r="G658" s="36"/>
      <c r="H658" s="36" t="s">
        <v>30</v>
      </c>
      <c r="I658" s="36" t="s">
        <v>30</v>
      </c>
      <c r="J658" s="36"/>
      <c r="K658" s="31"/>
      <c r="L658" s="7"/>
    </row>
    <row r="659" spans="1:14">
      <c r="A659">
        <v>3</v>
      </c>
      <c r="B659" s="16" t="s">
        <v>32</v>
      </c>
      <c r="C659" s="2"/>
      <c r="D659" s="3" t="s">
        <v>177</v>
      </c>
      <c r="E659" s="14" t="s">
        <v>31</v>
      </c>
      <c r="F659" s="3"/>
      <c r="G659" s="36"/>
      <c r="H659" s="36"/>
      <c r="I659" s="36"/>
      <c r="J659" s="36"/>
      <c r="K659" s="31"/>
      <c r="L659" s="7"/>
    </row>
    <row r="660" spans="1:14">
      <c r="A660">
        <v>4</v>
      </c>
      <c r="B660" s="16" t="s">
        <v>150</v>
      </c>
      <c r="C660" s="2"/>
      <c r="D660" s="3" t="s">
        <v>178</v>
      </c>
      <c r="E660" s="14" t="s">
        <v>31</v>
      </c>
      <c r="F660" s="3"/>
      <c r="G660" s="36"/>
      <c r="H660" s="36"/>
      <c r="I660" s="36"/>
      <c r="J660" s="36"/>
      <c r="K660" s="31"/>
      <c r="L660" s="7"/>
    </row>
    <row r="661" spans="1:14">
      <c r="A661">
        <v>5</v>
      </c>
      <c r="B661" s="16" t="s">
        <v>89</v>
      </c>
      <c r="C661" s="2"/>
      <c r="D661" s="3" t="s">
        <v>152</v>
      </c>
      <c r="E661" s="14" t="s">
        <v>31</v>
      </c>
      <c r="F661" s="3"/>
      <c r="G661" s="36"/>
      <c r="H661" s="36"/>
      <c r="I661" s="36"/>
      <c r="J661" s="36"/>
      <c r="K661" s="31"/>
      <c r="L661" s="7"/>
    </row>
    <row r="662" spans="1:14">
      <c r="A662">
        <v>6</v>
      </c>
      <c r="B662" s="16" t="s">
        <v>157</v>
      </c>
      <c r="C662" s="2"/>
      <c r="D662" s="3" t="s">
        <v>158</v>
      </c>
      <c r="E662" s="14" t="s">
        <v>29</v>
      </c>
      <c r="F662" s="36"/>
      <c r="G662" s="36"/>
      <c r="H662" s="36"/>
      <c r="I662" s="36"/>
      <c r="J662" s="30"/>
      <c r="K662" s="3"/>
      <c r="L662" s="7"/>
    </row>
    <row r="663" spans="1:14" ht="19.5" thickBot="1">
      <c r="A663">
        <v>7</v>
      </c>
      <c r="B663" s="17" t="s">
        <v>57</v>
      </c>
      <c r="C663" s="18"/>
      <c r="D663" s="8" t="s">
        <v>56</v>
      </c>
      <c r="E663" s="15" t="s">
        <v>42</v>
      </c>
      <c r="F663" s="37"/>
      <c r="G663" s="37"/>
      <c r="H663" s="82" t="s">
        <v>426</v>
      </c>
      <c r="I663" s="37"/>
      <c r="J663" s="38" t="b">
        <v>1</v>
      </c>
      <c r="K663" s="8"/>
      <c r="L663" s="9"/>
    </row>
    <row r="664" spans="1:14" ht="19.5" thickTop="1">
      <c r="J664" s="43"/>
    </row>
    <row r="665" spans="1:14">
      <c r="B665" t="str">
        <f>HYPERLINK("#'テーブル設計'!B2","テーブル一覧")</f>
        <v>テーブル一覧</v>
      </c>
    </row>
    <row r="666" spans="1:14" ht="19.5" thickBot="1"/>
    <row r="667" spans="1:14" ht="19.5" thickTop="1">
      <c r="B667" s="19" t="s">
        <v>21</v>
      </c>
      <c r="C667" s="4"/>
      <c r="D667" s="5" t="s">
        <v>71</v>
      </c>
      <c r="E667" s="6"/>
      <c r="F667" t="s">
        <v>297</v>
      </c>
      <c r="M667" t="str">
        <f t="shared" ref="M667:M706" si="5">+D667</f>
        <v>pipe_materials</v>
      </c>
      <c r="N667">
        <v>667</v>
      </c>
    </row>
    <row r="668" spans="1:14" ht="19.5" thickBot="1">
      <c r="B668" s="17" t="s">
        <v>22</v>
      </c>
      <c r="C668" s="15"/>
      <c r="D668" s="21" t="s">
        <v>72</v>
      </c>
      <c r="E668" s="20"/>
    </row>
    <row r="669" spans="1:14" ht="19.5" thickTop="1"/>
    <row r="670" spans="1:14">
      <c r="B670" s="1" t="s">
        <v>23</v>
      </c>
      <c r="C670" s="14"/>
    </row>
    <row r="675" spans="2:3">
      <c r="B675" s="1" t="s">
        <v>24</v>
      </c>
      <c r="C675" s="14"/>
    </row>
    <row r="676" spans="2:3">
      <c r="C676" t="s">
        <v>25</v>
      </c>
    </row>
    <row r="678" spans="2:3">
      <c r="B678" s="1" t="s">
        <v>26</v>
      </c>
      <c r="C678" s="14"/>
    </row>
    <row r="679" spans="2:3">
      <c r="C679" s="10"/>
    </row>
    <row r="684" spans="2:3">
      <c r="B684" s="1" t="s">
        <v>49</v>
      </c>
      <c r="C684" s="14"/>
    </row>
    <row r="685" spans="2:3">
      <c r="C685" s="24" t="s">
        <v>179</v>
      </c>
    </row>
    <row r="693" spans="1:17" ht="19.5" thickBot="1"/>
    <row r="694" spans="1:17" ht="19.5" thickTop="1">
      <c r="B694" s="90" t="s">
        <v>2</v>
      </c>
      <c r="C694" s="91"/>
      <c r="D694" s="11" t="s">
        <v>3</v>
      </c>
      <c r="E694" s="13" t="s">
        <v>4</v>
      </c>
      <c r="F694" s="35" t="s">
        <v>5</v>
      </c>
      <c r="G694" s="35" t="s">
        <v>7</v>
      </c>
      <c r="H694" s="35" t="s">
        <v>27</v>
      </c>
      <c r="I694" s="35" t="s">
        <v>47</v>
      </c>
      <c r="J694" s="11" t="s">
        <v>14</v>
      </c>
      <c r="K694" s="11" t="s">
        <v>15</v>
      </c>
      <c r="L694" s="12" t="s">
        <v>17</v>
      </c>
      <c r="P694" s="29"/>
      <c r="Q694" s="28"/>
    </row>
    <row r="695" spans="1:17">
      <c r="A695">
        <v>1</v>
      </c>
      <c r="B695" s="16" t="s">
        <v>25</v>
      </c>
      <c r="C695" s="2"/>
      <c r="D695" s="3" t="s">
        <v>180</v>
      </c>
      <c r="E695" s="14" t="s">
        <v>29</v>
      </c>
      <c r="F695" s="3" t="s">
        <v>30</v>
      </c>
      <c r="G695" s="36"/>
      <c r="H695" s="36" t="s">
        <v>30</v>
      </c>
      <c r="I695" s="36" t="s">
        <v>30</v>
      </c>
      <c r="J695" s="36"/>
      <c r="K695" s="31"/>
      <c r="L695" s="7" t="s">
        <v>219</v>
      </c>
    </row>
    <row r="696" spans="1:17">
      <c r="A696">
        <v>2</v>
      </c>
      <c r="B696" s="16" t="s">
        <v>86</v>
      </c>
      <c r="C696" s="2"/>
      <c r="D696" s="3" t="s">
        <v>181</v>
      </c>
      <c r="E696" s="14" t="s">
        <v>31</v>
      </c>
      <c r="F696" s="3"/>
      <c r="G696" s="36"/>
      <c r="H696" s="36" t="s">
        <v>30</v>
      </c>
      <c r="I696" s="36" t="s">
        <v>30</v>
      </c>
      <c r="J696" s="36"/>
      <c r="K696" s="31"/>
      <c r="L696" s="7"/>
    </row>
    <row r="697" spans="1:17">
      <c r="A697">
        <v>3</v>
      </c>
      <c r="B697" s="16" t="s">
        <v>32</v>
      </c>
      <c r="C697" s="2"/>
      <c r="D697" s="3" t="s">
        <v>182</v>
      </c>
      <c r="E697" s="14" t="s">
        <v>31</v>
      </c>
      <c r="F697" s="3"/>
      <c r="G697" s="36"/>
      <c r="H697" s="36"/>
      <c r="I697" s="36"/>
      <c r="J697" s="36"/>
      <c r="K697" s="31"/>
      <c r="L697" s="7"/>
    </row>
    <row r="698" spans="1:17">
      <c r="A698">
        <v>4</v>
      </c>
      <c r="B698" s="16" t="s">
        <v>183</v>
      </c>
      <c r="C698" s="2"/>
      <c r="D698" s="3" t="s">
        <v>184</v>
      </c>
      <c r="E698" s="14" t="s">
        <v>31</v>
      </c>
      <c r="F698" s="3"/>
      <c r="G698" s="36"/>
      <c r="H698" s="36"/>
      <c r="I698" s="36"/>
      <c r="J698" s="36"/>
      <c r="K698" s="31"/>
      <c r="L698" s="7"/>
    </row>
    <row r="699" spans="1:17">
      <c r="A699">
        <v>5</v>
      </c>
      <c r="B699" s="16" t="s">
        <v>185</v>
      </c>
      <c r="C699" s="2"/>
      <c r="D699" s="3" t="s">
        <v>186</v>
      </c>
      <c r="E699" s="14" t="s">
        <v>31</v>
      </c>
      <c r="F699" s="3"/>
      <c r="G699" s="36"/>
      <c r="H699" s="36"/>
      <c r="I699" s="36"/>
      <c r="J699" s="36"/>
      <c r="K699" s="31"/>
      <c r="L699" s="7"/>
    </row>
    <row r="700" spans="1:17">
      <c r="A700">
        <v>6</v>
      </c>
      <c r="B700" s="16" t="s">
        <v>89</v>
      </c>
      <c r="C700" s="2"/>
      <c r="D700" s="3" t="s">
        <v>152</v>
      </c>
      <c r="E700" s="14" t="s">
        <v>31</v>
      </c>
      <c r="F700" s="3"/>
      <c r="G700" s="36"/>
      <c r="H700" s="36"/>
      <c r="I700" s="36"/>
      <c r="J700" s="36"/>
      <c r="K700" s="31"/>
      <c r="L700" s="7"/>
    </row>
    <row r="701" spans="1:17">
      <c r="A701">
        <v>7</v>
      </c>
      <c r="B701" s="16" t="s">
        <v>153</v>
      </c>
      <c r="C701" s="2"/>
      <c r="D701" s="3" t="s">
        <v>154</v>
      </c>
      <c r="E701" s="14" t="s">
        <v>31</v>
      </c>
      <c r="F701" s="36"/>
      <c r="G701" s="36"/>
      <c r="H701" s="36"/>
      <c r="I701" s="36"/>
      <c r="J701" s="30"/>
      <c r="K701" s="3"/>
      <c r="L701" s="7"/>
    </row>
    <row r="702" spans="1:17" ht="19.5" thickBot="1">
      <c r="A702">
        <v>8</v>
      </c>
      <c r="B702" s="17" t="s">
        <v>57</v>
      </c>
      <c r="C702" s="18"/>
      <c r="D702" s="8" t="s">
        <v>56</v>
      </c>
      <c r="E702" s="15" t="s">
        <v>42</v>
      </c>
      <c r="F702" s="37"/>
      <c r="G702" s="37"/>
      <c r="H702" s="82" t="s">
        <v>426</v>
      </c>
      <c r="I702" s="37"/>
      <c r="J702" s="38" t="b">
        <v>1</v>
      </c>
      <c r="K702" s="8"/>
      <c r="L702" s="9"/>
    </row>
    <row r="703" spans="1:17" ht="19.5" thickTop="1">
      <c r="J703" s="43"/>
    </row>
    <row r="704" spans="1:17">
      <c r="B704" t="str">
        <f>HYPERLINK("#'テーブル設計'!B2","テーブル一覧")</f>
        <v>テーブル一覧</v>
      </c>
    </row>
    <row r="705" spans="2:14" ht="19.5" thickBot="1"/>
    <row r="706" spans="2:14" ht="19.5" thickTop="1">
      <c r="B706" s="19" t="s">
        <v>21</v>
      </c>
      <c r="C706" s="4"/>
      <c r="D706" s="5" t="s">
        <v>73</v>
      </c>
      <c r="E706" s="6"/>
      <c r="F706" t="s">
        <v>298</v>
      </c>
      <c r="M706" t="str">
        <f t="shared" si="5"/>
        <v>pipe_standards</v>
      </c>
      <c r="N706">
        <v>706</v>
      </c>
    </row>
    <row r="707" spans="2:14" ht="19.5" thickBot="1">
      <c r="B707" s="17" t="s">
        <v>22</v>
      </c>
      <c r="C707" s="15"/>
      <c r="D707" s="21" t="s">
        <v>74</v>
      </c>
      <c r="E707" s="20"/>
    </row>
    <row r="708" spans="2:14" ht="19.5" thickTop="1"/>
    <row r="709" spans="2:14">
      <c r="B709" s="1" t="s">
        <v>23</v>
      </c>
      <c r="C709" s="14"/>
    </row>
    <row r="710" spans="2:14">
      <c r="C710" t="s">
        <v>187</v>
      </c>
    </row>
    <row r="714" spans="2:14">
      <c r="B714" s="1" t="s">
        <v>24</v>
      </c>
      <c r="C714" s="14"/>
    </row>
    <row r="715" spans="2:14">
      <c r="C715" t="s">
        <v>25</v>
      </c>
    </row>
    <row r="717" spans="2:14">
      <c r="B717" s="1" t="s">
        <v>26</v>
      </c>
      <c r="C717" s="14"/>
    </row>
    <row r="718" spans="2:14">
      <c r="C718" s="10"/>
    </row>
    <row r="723" spans="1:17">
      <c r="B723" s="1" t="s">
        <v>49</v>
      </c>
      <c r="C723" s="14"/>
    </row>
    <row r="724" spans="1:17">
      <c r="C724" s="24" t="s">
        <v>145</v>
      </c>
    </row>
    <row r="725" spans="1:17">
      <c r="D725" t="s">
        <v>196</v>
      </c>
    </row>
    <row r="726" spans="1:17">
      <c r="D726" t="s">
        <v>197</v>
      </c>
    </row>
    <row r="727" spans="1:17">
      <c r="C727" s="24" t="s">
        <v>198</v>
      </c>
    </row>
    <row r="732" spans="1:17" ht="19.5" thickBot="1"/>
    <row r="733" spans="1:17" ht="19.5" thickTop="1">
      <c r="B733" s="90" t="s">
        <v>2</v>
      </c>
      <c r="C733" s="91"/>
      <c r="D733" s="11" t="s">
        <v>3</v>
      </c>
      <c r="E733" s="13" t="s">
        <v>4</v>
      </c>
      <c r="F733" s="35" t="s">
        <v>5</v>
      </c>
      <c r="G733" s="35" t="s">
        <v>7</v>
      </c>
      <c r="H733" s="35" t="s">
        <v>27</v>
      </c>
      <c r="I733" s="35" t="s">
        <v>47</v>
      </c>
      <c r="J733" s="11" t="s">
        <v>14</v>
      </c>
      <c r="K733" s="11" t="s">
        <v>15</v>
      </c>
      <c r="L733" s="12" t="s">
        <v>17</v>
      </c>
      <c r="P733" s="29"/>
      <c r="Q733" s="28"/>
    </row>
    <row r="734" spans="1:17">
      <c r="A734">
        <v>1</v>
      </c>
      <c r="B734" s="16" t="s">
        <v>25</v>
      </c>
      <c r="C734" s="2"/>
      <c r="D734" s="3" t="s">
        <v>188</v>
      </c>
      <c r="E734" s="14" t="s">
        <v>29</v>
      </c>
      <c r="F734" s="3" t="s">
        <v>30</v>
      </c>
      <c r="G734" s="36"/>
      <c r="H734" s="36" t="s">
        <v>30</v>
      </c>
      <c r="I734" s="36" t="s">
        <v>30</v>
      </c>
      <c r="J734" s="36"/>
      <c r="K734" s="31"/>
      <c r="L734" s="7" t="s">
        <v>219</v>
      </c>
    </row>
    <row r="735" spans="1:17">
      <c r="A735">
        <v>2</v>
      </c>
      <c r="B735" s="16" t="s">
        <v>189</v>
      </c>
      <c r="C735" s="2"/>
      <c r="D735" s="3" t="s">
        <v>180</v>
      </c>
      <c r="E735" s="14" t="s">
        <v>29</v>
      </c>
      <c r="F735" s="3"/>
      <c r="G735" s="36" t="s">
        <v>30</v>
      </c>
      <c r="H735" s="36" t="s">
        <v>30</v>
      </c>
      <c r="I735" s="36"/>
      <c r="J735" s="36"/>
      <c r="K735" s="31" t="s">
        <v>381</v>
      </c>
      <c r="L735" s="7"/>
    </row>
    <row r="736" spans="1:17">
      <c r="A736">
        <v>3</v>
      </c>
      <c r="B736" s="16" t="s">
        <v>120</v>
      </c>
      <c r="C736" s="2"/>
      <c r="D736" s="3" t="s">
        <v>102</v>
      </c>
      <c r="E736" s="14" t="s">
        <v>29</v>
      </c>
      <c r="F736" s="3"/>
      <c r="G736" s="36" t="s">
        <v>30</v>
      </c>
      <c r="H736" s="36"/>
      <c r="I736" s="36"/>
      <c r="J736" s="36"/>
      <c r="K736" s="31" t="s">
        <v>385</v>
      </c>
      <c r="L736" s="7"/>
    </row>
    <row r="737" spans="1:14">
      <c r="A737">
        <v>4</v>
      </c>
      <c r="B737" s="16" t="s">
        <v>190</v>
      </c>
      <c r="C737" s="2"/>
      <c r="D737" s="3" t="s">
        <v>191</v>
      </c>
      <c r="E737" s="14" t="s">
        <v>31</v>
      </c>
      <c r="F737" s="3"/>
      <c r="G737" s="36"/>
      <c r="H737" s="36"/>
      <c r="I737" s="36"/>
      <c r="J737" s="36"/>
      <c r="K737" s="31"/>
      <c r="L737" s="7"/>
    </row>
    <row r="738" spans="1:14">
      <c r="A738">
        <v>5</v>
      </c>
      <c r="B738" s="16" t="s">
        <v>192</v>
      </c>
      <c r="C738" s="2"/>
      <c r="D738" s="3" t="s">
        <v>193</v>
      </c>
      <c r="E738" s="14" t="s">
        <v>31</v>
      </c>
      <c r="F738" s="3"/>
      <c r="G738" s="36"/>
      <c r="H738" s="36"/>
      <c r="I738" s="36"/>
      <c r="J738" s="36"/>
      <c r="K738" s="31"/>
      <c r="L738" s="7"/>
    </row>
    <row r="739" spans="1:14">
      <c r="A739">
        <v>6</v>
      </c>
      <c r="B739" s="16" t="s">
        <v>194</v>
      </c>
      <c r="C739" s="2"/>
      <c r="D739" s="3" t="s">
        <v>195</v>
      </c>
      <c r="E739" s="14" t="s">
        <v>31</v>
      </c>
      <c r="F739" s="3"/>
      <c r="G739" s="36"/>
      <c r="H739" s="36"/>
      <c r="I739" s="36"/>
      <c r="J739" s="36"/>
      <c r="K739" s="31"/>
      <c r="L739" s="7"/>
    </row>
    <row r="740" spans="1:14">
      <c r="A740">
        <v>7</v>
      </c>
      <c r="B740" s="16" t="s">
        <v>40</v>
      </c>
      <c r="C740" s="2"/>
      <c r="D740" s="3" t="s">
        <v>61</v>
      </c>
      <c r="E740" s="14" t="s">
        <v>33</v>
      </c>
      <c r="F740" s="3"/>
      <c r="G740" s="36"/>
      <c r="H740" s="36"/>
      <c r="I740" s="36"/>
      <c r="J740" s="36"/>
      <c r="K740" s="31"/>
      <c r="L740" s="7"/>
    </row>
    <row r="741" spans="1:14">
      <c r="A741">
        <v>8</v>
      </c>
      <c r="B741" s="16" t="s">
        <v>41</v>
      </c>
      <c r="C741" s="2"/>
      <c r="D741" s="3" t="s">
        <v>62</v>
      </c>
      <c r="E741" s="14" t="s">
        <v>33</v>
      </c>
      <c r="F741" s="36"/>
      <c r="G741" s="36"/>
      <c r="H741" s="36"/>
      <c r="I741" s="36"/>
      <c r="J741" s="30"/>
      <c r="K741" s="3"/>
      <c r="L741" s="7"/>
    </row>
    <row r="742" spans="1:14" ht="19.5" thickBot="1">
      <c r="A742">
        <v>9</v>
      </c>
      <c r="B742" s="17" t="s">
        <v>45</v>
      </c>
      <c r="C742" s="18"/>
      <c r="D742" s="8" t="s">
        <v>17</v>
      </c>
      <c r="E742" s="15" t="s">
        <v>31</v>
      </c>
      <c r="F742" s="37"/>
      <c r="G742" s="37"/>
      <c r="H742" s="37"/>
      <c r="I742" s="37"/>
      <c r="J742" s="38"/>
      <c r="K742" s="8"/>
      <c r="L742" s="9"/>
    </row>
    <row r="743" spans="1:14" ht="19.5" thickTop="1">
      <c r="J743" s="43"/>
    </row>
    <row r="744" spans="1:14">
      <c r="B744" t="str">
        <f>HYPERLINK("#'テーブル設計'!B2","テーブル一覧")</f>
        <v>テーブル一覧</v>
      </c>
    </row>
    <row r="745" spans="1:14" ht="19.5" thickBot="1"/>
    <row r="746" spans="1:14" ht="19.5" thickTop="1">
      <c r="B746" s="19" t="s">
        <v>21</v>
      </c>
      <c r="C746" s="4"/>
      <c r="D746" s="5" t="s">
        <v>75</v>
      </c>
      <c r="E746" s="6"/>
      <c r="F746" t="s">
        <v>299</v>
      </c>
      <c r="M746" t="str">
        <f t="shared" ref="M746" si="6">+D746</f>
        <v>pipe_sizes</v>
      </c>
      <c r="N746">
        <v>746</v>
      </c>
    </row>
    <row r="747" spans="1:14" ht="19.5" thickBot="1">
      <c r="B747" s="17" t="s">
        <v>22</v>
      </c>
      <c r="C747" s="15"/>
      <c r="D747" s="21" t="s">
        <v>76</v>
      </c>
      <c r="E747" s="20"/>
    </row>
    <row r="748" spans="1:14" ht="19.5" thickTop="1"/>
    <row r="749" spans="1:14">
      <c r="B749" s="1" t="s">
        <v>23</v>
      </c>
      <c r="C749" s="14"/>
    </row>
    <row r="750" spans="1:14">
      <c r="C750" t="s">
        <v>201</v>
      </c>
    </row>
    <row r="754" spans="2:4">
      <c r="B754" s="1" t="s">
        <v>24</v>
      </c>
      <c r="C754" s="14"/>
    </row>
    <row r="755" spans="2:4">
      <c r="C755" t="s">
        <v>25</v>
      </c>
    </row>
    <row r="757" spans="2:4">
      <c r="B757" s="1" t="s">
        <v>26</v>
      </c>
      <c r="C757" s="14"/>
    </row>
    <row r="758" spans="2:4">
      <c r="C758" s="10"/>
    </row>
    <row r="763" spans="2:4">
      <c r="B763" s="1" t="s">
        <v>49</v>
      </c>
      <c r="C763" s="14"/>
    </row>
    <row r="764" spans="2:4">
      <c r="C764" s="24" t="s">
        <v>145</v>
      </c>
    </row>
    <row r="765" spans="2:4">
      <c r="D765" t="s">
        <v>199</v>
      </c>
    </row>
    <row r="766" spans="2:4">
      <c r="C766" t="s">
        <v>200</v>
      </c>
      <c r="D766" t="s">
        <v>200</v>
      </c>
    </row>
    <row r="773" spans="1:17" ht="19.5" thickBot="1"/>
    <row r="774" spans="1:17" ht="19.5" thickTop="1">
      <c r="B774" s="90" t="s">
        <v>2</v>
      </c>
      <c r="C774" s="91"/>
      <c r="D774" s="11" t="s">
        <v>3</v>
      </c>
      <c r="E774" s="13" t="s">
        <v>4</v>
      </c>
      <c r="F774" s="35" t="s">
        <v>5</v>
      </c>
      <c r="G774" s="35" t="s">
        <v>7</v>
      </c>
      <c r="H774" s="35" t="s">
        <v>27</v>
      </c>
      <c r="I774" s="35" t="s">
        <v>47</v>
      </c>
      <c r="J774" s="11" t="s">
        <v>14</v>
      </c>
      <c r="K774" s="11" t="s">
        <v>15</v>
      </c>
      <c r="L774" s="12" t="s">
        <v>17</v>
      </c>
      <c r="P774" s="29"/>
      <c r="Q774" s="28"/>
    </row>
    <row r="775" spans="1:17">
      <c r="A775">
        <v>1</v>
      </c>
      <c r="B775" s="16" t="s">
        <v>25</v>
      </c>
      <c r="C775" s="2"/>
      <c r="D775" s="3" t="s">
        <v>202</v>
      </c>
      <c r="E775" s="14" t="s">
        <v>29</v>
      </c>
      <c r="F775" s="3" t="s">
        <v>30</v>
      </c>
      <c r="G775" s="36"/>
      <c r="H775" s="36" t="s">
        <v>30</v>
      </c>
      <c r="I775" s="36" t="s">
        <v>30</v>
      </c>
      <c r="J775" s="36"/>
      <c r="K775" s="31"/>
      <c r="L775" s="40" t="s">
        <v>219</v>
      </c>
    </row>
    <row r="776" spans="1:17">
      <c r="A776">
        <v>2</v>
      </c>
      <c r="B776" s="16" t="s">
        <v>203</v>
      </c>
      <c r="C776" s="2"/>
      <c r="D776" s="3" t="s">
        <v>188</v>
      </c>
      <c r="E776" s="14" t="s">
        <v>29</v>
      </c>
      <c r="F776" s="3"/>
      <c r="G776" s="36" t="s">
        <v>30</v>
      </c>
      <c r="H776" s="36" t="s">
        <v>30</v>
      </c>
      <c r="I776" s="36"/>
      <c r="J776" s="36"/>
      <c r="K776" s="31" t="s">
        <v>386</v>
      </c>
      <c r="L776" s="7"/>
    </row>
    <row r="777" spans="1:17">
      <c r="A777">
        <v>3</v>
      </c>
      <c r="B777" s="16" t="s">
        <v>204</v>
      </c>
      <c r="C777" s="2"/>
      <c r="D777" s="3" t="s">
        <v>205</v>
      </c>
      <c r="E777" s="24" t="s">
        <v>29</v>
      </c>
      <c r="F777" s="3"/>
      <c r="G777" s="36"/>
      <c r="H777" s="36"/>
      <c r="I777" s="36"/>
      <c r="J777" s="36"/>
      <c r="K777" s="31"/>
      <c r="L777" s="7">
        <v>32</v>
      </c>
    </row>
    <row r="778" spans="1:17">
      <c r="A778">
        <v>4</v>
      </c>
      <c r="B778" s="16" t="s">
        <v>206</v>
      </c>
      <c r="C778" s="2"/>
      <c r="D778" s="3" t="s">
        <v>207</v>
      </c>
      <c r="E778" s="14" t="s">
        <v>31</v>
      </c>
      <c r="F778" s="3"/>
      <c r="G778" s="36"/>
      <c r="H778" s="36"/>
      <c r="I778" s="36"/>
      <c r="J778" s="36"/>
      <c r="K778" s="31"/>
      <c r="L778" s="75" t="s">
        <v>361</v>
      </c>
    </row>
    <row r="779" spans="1:17">
      <c r="A779">
        <v>5</v>
      </c>
      <c r="B779" s="16" t="s">
        <v>208</v>
      </c>
      <c r="C779" s="2"/>
      <c r="D779" s="3" t="s">
        <v>209</v>
      </c>
      <c r="E779" s="14" t="s">
        <v>31</v>
      </c>
      <c r="F779" s="3"/>
      <c r="G779" s="36"/>
      <c r="H779" s="36"/>
      <c r="I779" s="36"/>
      <c r="J779" s="36"/>
      <c r="K779" s="31"/>
      <c r="L779" s="40" t="s">
        <v>362</v>
      </c>
    </row>
    <row r="780" spans="1:17">
      <c r="A780">
        <v>6</v>
      </c>
      <c r="B780" s="16" t="s">
        <v>210</v>
      </c>
      <c r="C780" s="2"/>
      <c r="D780" s="3" t="s">
        <v>211</v>
      </c>
      <c r="E780" s="14" t="s">
        <v>212</v>
      </c>
      <c r="F780" s="3"/>
      <c r="G780" s="36"/>
      <c r="H780" s="36"/>
      <c r="I780" s="36"/>
      <c r="J780" s="36"/>
      <c r="K780" s="31"/>
      <c r="L780" s="7"/>
    </row>
    <row r="781" spans="1:17">
      <c r="A781">
        <v>7</v>
      </c>
      <c r="B781" s="16" t="s">
        <v>213</v>
      </c>
      <c r="C781" s="2"/>
      <c r="D781" s="3" t="s">
        <v>214</v>
      </c>
      <c r="E781" s="14" t="s">
        <v>212</v>
      </c>
      <c r="F781" s="3"/>
      <c r="G781" s="36"/>
      <c r="H781" s="36"/>
      <c r="I781" s="36"/>
      <c r="J781" s="36"/>
      <c r="K781" s="31"/>
      <c r="L781" s="7"/>
    </row>
    <row r="782" spans="1:17">
      <c r="A782">
        <v>8</v>
      </c>
      <c r="B782" s="16" t="s">
        <v>215</v>
      </c>
      <c r="C782" s="2"/>
      <c r="D782" s="3" t="s">
        <v>216</v>
      </c>
      <c r="E782" s="14" t="s">
        <v>212</v>
      </c>
      <c r="F782" s="3"/>
      <c r="G782" s="36"/>
      <c r="H782" s="36"/>
      <c r="I782" s="36"/>
      <c r="J782" s="36"/>
      <c r="K782" s="31"/>
      <c r="L782" s="7"/>
    </row>
    <row r="783" spans="1:17">
      <c r="A783">
        <v>9</v>
      </c>
      <c r="B783" s="16" t="s">
        <v>217</v>
      </c>
      <c r="C783" s="2"/>
      <c r="D783" s="3" t="s">
        <v>218</v>
      </c>
      <c r="E783" s="14" t="s">
        <v>31</v>
      </c>
      <c r="F783" s="3"/>
      <c r="G783" s="36"/>
      <c r="H783" s="36"/>
      <c r="I783" s="36"/>
      <c r="J783" s="36"/>
      <c r="K783" s="31"/>
      <c r="L783" s="7"/>
    </row>
    <row r="784" spans="1:17">
      <c r="A784">
        <v>10</v>
      </c>
      <c r="B784" s="16" t="s">
        <v>40</v>
      </c>
      <c r="C784" s="2"/>
      <c r="D784" s="3" t="s">
        <v>61</v>
      </c>
      <c r="E784" s="14" t="s">
        <v>33</v>
      </c>
      <c r="F784" s="3"/>
      <c r="G784" s="36"/>
      <c r="H784" s="36"/>
      <c r="I784" s="36"/>
      <c r="J784" s="36"/>
      <c r="K784" s="31"/>
      <c r="L784" s="7"/>
    </row>
    <row r="785" spans="1:14">
      <c r="A785">
        <v>11</v>
      </c>
      <c r="B785" s="16" t="s">
        <v>41</v>
      </c>
      <c r="C785" s="2"/>
      <c r="D785" s="3" t="s">
        <v>62</v>
      </c>
      <c r="E785" s="14" t="s">
        <v>33</v>
      </c>
      <c r="F785" s="36"/>
      <c r="G785" s="36"/>
      <c r="H785" s="36"/>
      <c r="I785" s="36"/>
      <c r="J785" s="30"/>
      <c r="K785" s="3"/>
      <c r="L785" s="7"/>
    </row>
    <row r="786" spans="1:14" ht="19.5" thickBot="1">
      <c r="A786">
        <v>12</v>
      </c>
      <c r="B786" s="17" t="s">
        <v>45</v>
      </c>
      <c r="C786" s="18"/>
      <c r="D786" s="8" t="s">
        <v>17</v>
      </c>
      <c r="E786" s="15" t="s">
        <v>31</v>
      </c>
      <c r="F786" s="37"/>
      <c r="G786" s="37"/>
      <c r="H786" s="37"/>
      <c r="I786" s="37"/>
      <c r="J786" s="38"/>
      <c r="K786" s="8"/>
      <c r="L786" s="9"/>
    </row>
    <row r="787" spans="1:14" ht="19.5" thickTop="1">
      <c r="J787" s="43"/>
    </row>
    <row r="788" spans="1:14">
      <c r="B788" t="str">
        <f>HYPERLINK("#'テーブル設計'!B2","テーブル一覧")</f>
        <v>テーブル一覧</v>
      </c>
    </row>
    <row r="789" spans="1:14" ht="19.5" thickBot="1"/>
    <row r="790" spans="1:14" ht="19.5" thickTop="1">
      <c r="B790" s="19" t="s">
        <v>21</v>
      </c>
      <c r="C790" s="4"/>
      <c r="D790" s="5" t="s">
        <v>77</v>
      </c>
      <c r="E790" s="6"/>
      <c r="F790" t="s">
        <v>300</v>
      </c>
      <c r="M790" t="str">
        <f t="shared" ref="M790:M901" si="7">+D790</f>
        <v>insulation_types</v>
      </c>
      <c r="N790">
        <v>790</v>
      </c>
    </row>
    <row r="791" spans="1:14" ht="19.5" thickBot="1">
      <c r="B791" s="17" t="s">
        <v>22</v>
      </c>
      <c r="C791" s="15"/>
      <c r="D791" s="21" t="s">
        <v>78</v>
      </c>
      <c r="E791" s="20"/>
    </row>
    <row r="792" spans="1:14" ht="19.5" thickTop="1"/>
    <row r="793" spans="1:14">
      <c r="B793" s="1" t="s">
        <v>23</v>
      </c>
      <c r="C793" s="14"/>
    </row>
    <row r="798" spans="1:14">
      <c r="B798" s="1" t="s">
        <v>24</v>
      </c>
      <c r="C798" s="14"/>
    </row>
    <row r="799" spans="1:14">
      <c r="C799" t="s">
        <v>25</v>
      </c>
    </row>
    <row r="801" spans="2:3">
      <c r="B801" s="1" t="s">
        <v>26</v>
      </c>
      <c r="C801" s="14"/>
    </row>
    <row r="802" spans="2:3">
      <c r="C802" s="10"/>
    </row>
    <row r="807" spans="2:3">
      <c r="B807" s="1" t="s">
        <v>49</v>
      </c>
      <c r="C807" s="14"/>
    </row>
    <row r="808" spans="2:3">
      <c r="C808" s="24" t="s">
        <v>65</v>
      </c>
    </row>
    <row r="816" spans="2:3" ht="19.5" thickBot="1"/>
    <row r="817" spans="1:17" ht="19.5" thickTop="1">
      <c r="B817" s="90" t="s">
        <v>2</v>
      </c>
      <c r="C817" s="91"/>
      <c r="D817" s="11" t="s">
        <v>3</v>
      </c>
      <c r="E817" s="13" t="s">
        <v>4</v>
      </c>
      <c r="F817" s="35" t="s">
        <v>5</v>
      </c>
      <c r="G817" s="35" t="s">
        <v>7</v>
      </c>
      <c r="H817" s="35" t="s">
        <v>27</v>
      </c>
      <c r="I817" s="35" t="s">
        <v>47</v>
      </c>
      <c r="J817" s="11" t="s">
        <v>14</v>
      </c>
      <c r="K817" s="11" t="s">
        <v>15</v>
      </c>
      <c r="L817" s="12" t="s">
        <v>17</v>
      </c>
      <c r="P817" s="29"/>
      <c r="Q817" s="28"/>
    </row>
    <row r="818" spans="1:17">
      <c r="A818">
        <v>1</v>
      </c>
      <c r="B818" s="16" t="s">
        <v>25</v>
      </c>
      <c r="C818" s="2"/>
      <c r="D818" s="3" t="s">
        <v>220</v>
      </c>
      <c r="E818" s="14" t="s">
        <v>29</v>
      </c>
      <c r="F818" s="3" t="s">
        <v>30</v>
      </c>
      <c r="G818" s="36"/>
      <c r="H818" s="36" t="s">
        <v>30</v>
      </c>
      <c r="I818" s="36" t="s">
        <v>30</v>
      </c>
      <c r="J818" s="36"/>
      <c r="K818" s="31"/>
      <c r="L818" s="7" t="s">
        <v>219</v>
      </c>
    </row>
    <row r="819" spans="1:17">
      <c r="A819">
        <v>2</v>
      </c>
      <c r="B819" s="16" t="s">
        <v>86</v>
      </c>
      <c r="C819" s="2"/>
      <c r="D819" s="3" t="s">
        <v>221</v>
      </c>
      <c r="E819" s="14" t="s">
        <v>31</v>
      </c>
      <c r="F819" s="3"/>
      <c r="G819" s="36"/>
      <c r="H819" s="36" t="s">
        <v>30</v>
      </c>
      <c r="I819" s="36" t="s">
        <v>30</v>
      </c>
      <c r="J819" s="36"/>
      <c r="K819" s="31"/>
      <c r="L819" s="7"/>
    </row>
    <row r="820" spans="1:17">
      <c r="A820">
        <v>3</v>
      </c>
      <c r="B820" s="16" t="s">
        <v>32</v>
      </c>
      <c r="C820" s="2"/>
      <c r="D820" s="3" t="s">
        <v>222</v>
      </c>
      <c r="E820" s="14" t="s">
        <v>31</v>
      </c>
      <c r="F820" s="3"/>
      <c r="G820" s="36"/>
      <c r="H820" s="36"/>
      <c r="I820" s="36"/>
      <c r="J820" s="36"/>
      <c r="K820" s="31"/>
      <c r="L820" s="7"/>
    </row>
    <row r="821" spans="1:17">
      <c r="A821">
        <v>4</v>
      </c>
      <c r="B821" s="16" t="s">
        <v>223</v>
      </c>
      <c r="C821" s="2"/>
      <c r="D821" s="3" t="s">
        <v>224</v>
      </c>
      <c r="E821" s="14" t="s">
        <v>31</v>
      </c>
      <c r="F821" s="3"/>
      <c r="G821" s="36"/>
      <c r="H821" s="36"/>
      <c r="I821" s="36"/>
      <c r="J821" s="36"/>
      <c r="K821" s="31"/>
      <c r="L821" s="7"/>
    </row>
    <row r="822" spans="1:17">
      <c r="A822">
        <v>5</v>
      </c>
      <c r="B822" s="16" t="s">
        <v>225</v>
      </c>
      <c r="C822" s="2"/>
      <c r="D822" s="3" t="s">
        <v>226</v>
      </c>
      <c r="E822" s="14" t="s">
        <v>31</v>
      </c>
      <c r="F822" s="3"/>
      <c r="G822" s="36"/>
      <c r="H822" s="36"/>
      <c r="I822" s="36"/>
      <c r="J822" s="36"/>
      <c r="K822" s="31"/>
      <c r="L822" s="7"/>
    </row>
    <row r="823" spans="1:17">
      <c r="A823">
        <v>6</v>
      </c>
      <c r="B823" s="16" t="s">
        <v>89</v>
      </c>
      <c r="C823" s="2"/>
      <c r="D823" s="3" t="s">
        <v>152</v>
      </c>
      <c r="E823" s="14" t="s">
        <v>31</v>
      </c>
      <c r="F823" s="36"/>
      <c r="G823" s="36"/>
      <c r="H823" s="36"/>
      <c r="I823" s="36"/>
      <c r="J823" s="30"/>
      <c r="K823" s="3"/>
      <c r="L823" s="7"/>
    </row>
    <row r="824" spans="1:17" ht="19.5" thickBot="1">
      <c r="A824">
        <v>7</v>
      </c>
      <c r="B824" s="17" t="s">
        <v>57</v>
      </c>
      <c r="C824" s="18"/>
      <c r="D824" s="8" t="s">
        <v>56</v>
      </c>
      <c r="E824" s="15" t="s">
        <v>42</v>
      </c>
      <c r="F824" s="37"/>
      <c r="G824" s="37"/>
      <c r="H824" s="82" t="s">
        <v>426</v>
      </c>
      <c r="I824" s="37"/>
      <c r="J824" s="38" t="b">
        <v>1</v>
      </c>
      <c r="K824" s="8"/>
      <c r="L824" s="9"/>
    </row>
    <row r="825" spans="1:17" ht="19.5" thickTop="1">
      <c r="J825" s="43"/>
    </row>
    <row r="826" spans="1:17">
      <c r="B826" t="str">
        <f>HYPERLINK("#'テーブル設計'!B2","テーブル一覧")</f>
        <v>テーブル一覧</v>
      </c>
    </row>
    <row r="827" spans="1:17" ht="19.5" thickBot="1"/>
    <row r="828" spans="1:17" ht="19.5" thickTop="1">
      <c r="B828" s="19" t="s">
        <v>21</v>
      </c>
      <c r="C828" s="4"/>
      <c r="D828" s="5" t="s">
        <v>79</v>
      </c>
      <c r="E828" s="6"/>
      <c r="F828" t="s">
        <v>301</v>
      </c>
      <c r="M828" t="str">
        <f t="shared" ref="M828" si="8">+D828</f>
        <v>painting_types</v>
      </c>
      <c r="N828">
        <v>828</v>
      </c>
    </row>
    <row r="829" spans="1:17" ht="19.5" thickBot="1">
      <c r="B829" s="17" t="s">
        <v>22</v>
      </c>
      <c r="C829" s="15"/>
      <c r="D829" s="21" t="s">
        <v>80</v>
      </c>
      <c r="E829" s="20"/>
    </row>
    <row r="830" spans="1:17" ht="19.5" thickTop="1"/>
    <row r="831" spans="1:17">
      <c r="B831" s="1" t="s">
        <v>23</v>
      </c>
      <c r="C831" s="14"/>
    </row>
    <row r="836" spans="2:3">
      <c r="B836" s="1" t="s">
        <v>24</v>
      </c>
      <c r="C836" s="14"/>
    </row>
    <row r="837" spans="2:3">
      <c r="C837" t="s">
        <v>25</v>
      </c>
    </row>
    <row r="839" spans="2:3">
      <c r="B839" s="1" t="s">
        <v>26</v>
      </c>
      <c r="C839" s="14"/>
    </row>
    <row r="840" spans="2:3">
      <c r="C840" s="10"/>
    </row>
    <row r="845" spans="2:3">
      <c r="B845" s="1" t="s">
        <v>49</v>
      </c>
      <c r="C845" s="14"/>
    </row>
    <row r="846" spans="2:3">
      <c r="C846" s="24" t="s">
        <v>65</v>
      </c>
    </row>
    <row r="854" spans="1:17" ht="19.5" thickBot="1"/>
    <row r="855" spans="1:17" ht="19.5" thickTop="1">
      <c r="B855" s="90" t="s">
        <v>2</v>
      </c>
      <c r="C855" s="91"/>
      <c r="D855" s="11" t="s">
        <v>3</v>
      </c>
      <c r="E855" s="13" t="s">
        <v>4</v>
      </c>
      <c r="F855" s="35" t="s">
        <v>5</v>
      </c>
      <c r="G855" s="35" t="s">
        <v>7</v>
      </c>
      <c r="H855" s="35" t="s">
        <v>27</v>
      </c>
      <c r="I855" s="35" t="s">
        <v>47</v>
      </c>
      <c r="J855" s="11" t="s">
        <v>14</v>
      </c>
      <c r="K855" s="11" t="s">
        <v>15</v>
      </c>
      <c r="L855" s="12" t="s">
        <v>17</v>
      </c>
      <c r="P855" s="29"/>
      <c r="Q855" s="28"/>
    </row>
    <row r="856" spans="1:17">
      <c r="A856">
        <v>1</v>
      </c>
      <c r="B856" s="16" t="s">
        <v>25</v>
      </c>
      <c r="C856" s="2"/>
      <c r="D856" s="3" t="s">
        <v>243</v>
      </c>
      <c r="E856" s="14" t="s">
        <v>29</v>
      </c>
      <c r="F856" s="3" t="s">
        <v>30</v>
      </c>
      <c r="G856" s="36"/>
      <c r="H856" s="36" t="s">
        <v>30</v>
      </c>
      <c r="I856" s="36" t="s">
        <v>30</v>
      </c>
      <c r="J856" s="36"/>
      <c r="K856" s="31"/>
      <c r="L856" s="7" t="s">
        <v>219</v>
      </c>
    </row>
    <row r="857" spans="1:17">
      <c r="A857">
        <v>2</v>
      </c>
      <c r="B857" s="16" t="s">
        <v>86</v>
      </c>
      <c r="C857" s="2"/>
      <c r="D857" s="3" t="s">
        <v>244</v>
      </c>
      <c r="E857" s="14" t="s">
        <v>31</v>
      </c>
      <c r="F857" s="3"/>
      <c r="G857" s="36"/>
      <c r="H857" s="36" t="s">
        <v>30</v>
      </c>
      <c r="I857" s="36" t="s">
        <v>30</v>
      </c>
      <c r="J857" s="36"/>
      <c r="K857" s="31"/>
      <c r="L857" s="7"/>
    </row>
    <row r="858" spans="1:17">
      <c r="A858">
        <v>3</v>
      </c>
      <c r="B858" s="16" t="s">
        <v>32</v>
      </c>
      <c r="C858" s="2"/>
      <c r="D858" s="3" t="s">
        <v>245</v>
      </c>
      <c r="E858" s="14" t="s">
        <v>31</v>
      </c>
      <c r="F858" s="3"/>
      <c r="G858" s="36"/>
      <c r="H858" s="36"/>
      <c r="I858" s="36"/>
      <c r="J858" s="36"/>
      <c r="K858" s="31"/>
      <c r="L858" s="7"/>
    </row>
    <row r="859" spans="1:17">
      <c r="A859">
        <v>4</v>
      </c>
      <c r="B859" s="16" t="s">
        <v>246</v>
      </c>
      <c r="C859" s="2"/>
      <c r="D859" s="3" t="s">
        <v>247</v>
      </c>
      <c r="E859" s="14" t="s">
        <v>31</v>
      </c>
      <c r="F859" s="3"/>
      <c r="G859" s="36"/>
      <c r="H859" s="36"/>
      <c r="I859" s="36"/>
      <c r="J859" s="36"/>
      <c r="K859" s="31"/>
      <c r="L859" s="7"/>
    </row>
    <row r="860" spans="1:17">
      <c r="A860">
        <v>5</v>
      </c>
      <c r="B860" s="16" t="s">
        <v>248</v>
      </c>
      <c r="C860" s="2"/>
      <c r="D860" s="3" t="s">
        <v>249</v>
      </c>
      <c r="E860" s="14" t="s">
        <v>29</v>
      </c>
      <c r="F860" s="3"/>
      <c r="G860" s="36"/>
      <c r="H860" s="36"/>
      <c r="I860" s="36"/>
      <c r="J860" s="36"/>
      <c r="K860" s="31"/>
      <c r="L860" s="7"/>
    </row>
    <row r="861" spans="1:17">
      <c r="A861">
        <v>6</v>
      </c>
      <c r="B861" s="16" t="s">
        <v>89</v>
      </c>
      <c r="C861" s="2"/>
      <c r="D861" s="3" t="s">
        <v>152</v>
      </c>
      <c r="E861" s="14" t="s">
        <v>31</v>
      </c>
      <c r="F861" s="36"/>
      <c r="G861" s="36"/>
      <c r="H861" s="36"/>
      <c r="I861" s="36"/>
      <c r="J861" s="30"/>
      <c r="K861" s="3"/>
      <c r="L861" s="7"/>
    </row>
    <row r="862" spans="1:17" ht="19.5" thickBot="1">
      <c r="A862">
        <v>7</v>
      </c>
      <c r="B862" s="17" t="s">
        <v>57</v>
      </c>
      <c r="C862" s="18"/>
      <c r="D862" s="8" t="s">
        <v>56</v>
      </c>
      <c r="E862" s="15" t="s">
        <v>42</v>
      </c>
      <c r="F862" s="37"/>
      <c r="G862" s="37"/>
      <c r="H862" s="82" t="s">
        <v>426</v>
      </c>
      <c r="I862" s="37"/>
      <c r="J862" s="38" t="b">
        <v>1</v>
      </c>
      <c r="K862" s="8"/>
      <c r="L862" s="9"/>
    </row>
    <row r="863" spans="1:17" ht="19.5" thickTop="1">
      <c r="J863" s="43"/>
    </row>
    <row r="864" spans="1:17">
      <c r="B864" t="str">
        <f>HYPERLINK("#'テーブル設計'!B2","テーブル一覧")</f>
        <v>テーブル一覧</v>
      </c>
    </row>
    <row r="865" spans="2:14" ht="19.5" thickBot="1"/>
    <row r="866" spans="2:14" ht="18" customHeight="1" thickTop="1">
      <c r="B866" s="19" t="s">
        <v>21</v>
      </c>
      <c r="C866" s="4"/>
      <c r="D866" s="5" t="s">
        <v>83</v>
      </c>
      <c r="E866" s="6"/>
      <c r="F866" t="s">
        <v>302</v>
      </c>
      <c r="M866" t="str">
        <f>+D866</f>
        <v>worker_types</v>
      </c>
      <c r="N866">
        <v>866</v>
      </c>
    </row>
    <row r="867" spans="2:14" ht="18" customHeight="1" thickBot="1">
      <c r="B867" s="17" t="s">
        <v>22</v>
      </c>
      <c r="C867" s="15"/>
      <c r="D867" s="76" t="s">
        <v>364</v>
      </c>
      <c r="E867" s="20"/>
    </row>
    <row r="868" spans="2:14" ht="18" customHeight="1" thickTop="1"/>
    <row r="869" spans="2:14" ht="18" customHeight="1">
      <c r="B869" s="1" t="s">
        <v>23</v>
      </c>
      <c r="C869" s="14"/>
    </row>
    <row r="870" spans="2:14" ht="18" customHeight="1"/>
    <row r="871" spans="2:14" ht="18" customHeight="1"/>
    <row r="872" spans="2:14" ht="18" customHeight="1"/>
    <row r="873" spans="2:14" ht="18" customHeight="1"/>
    <row r="874" spans="2:14" ht="18" customHeight="1">
      <c r="B874" s="1" t="s">
        <v>24</v>
      </c>
      <c r="C874" s="14"/>
    </row>
    <row r="875" spans="2:14" ht="18" customHeight="1">
      <c r="C875" t="s">
        <v>25</v>
      </c>
    </row>
    <row r="876" spans="2:14" ht="18" customHeight="1"/>
    <row r="877" spans="2:14" ht="18" customHeight="1">
      <c r="B877" s="1" t="s">
        <v>26</v>
      </c>
      <c r="C877" s="14"/>
    </row>
    <row r="878" spans="2:14" ht="18" customHeight="1">
      <c r="C878" s="10"/>
    </row>
    <row r="879" spans="2:14" ht="18" customHeight="1"/>
    <row r="880" spans="2:14" ht="18" customHeight="1"/>
    <row r="881" spans="1:17" ht="18" customHeight="1"/>
    <row r="882" spans="1:17" ht="18" customHeight="1"/>
    <row r="883" spans="1:17" ht="18" customHeight="1">
      <c r="B883" s="1" t="s">
        <v>49</v>
      </c>
      <c r="C883" s="14"/>
    </row>
    <row r="884" spans="1:17" ht="18" customHeight="1">
      <c r="C884" s="24" t="s">
        <v>252</v>
      </c>
    </row>
    <row r="885" spans="1:17" ht="18" customHeight="1"/>
    <row r="886" spans="1:17" ht="18" customHeight="1"/>
    <row r="887" spans="1:17" ht="18" customHeight="1"/>
    <row r="888" spans="1:17" ht="18" customHeight="1"/>
    <row r="889" spans="1:17" ht="18" customHeight="1"/>
    <row r="890" spans="1:17" ht="18" customHeight="1"/>
    <row r="891" spans="1:17" ht="18" customHeight="1"/>
    <row r="892" spans="1:17" ht="18" customHeight="1" thickBot="1"/>
    <row r="893" spans="1:17" ht="18" customHeight="1" thickTop="1">
      <c r="B893" s="90" t="s">
        <v>2</v>
      </c>
      <c r="C893" s="91"/>
      <c r="D893" s="11" t="s">
        <v>3</v>
      </c>
      <c r="E893" s="13" t="s">
        <v>4</v>
      </c>
      <c r="F893" s="35" t="s">
        <v>5</v>
      </c>
      <c r="G893" s="35" t="s">
        <v>7</v>
      </c>
      <c r="H893" s="35" t="s">
        <v>27</v>
      </c>
      <c r="I893" s="35" t="s">
        <v>47</v>
      </c>
      <c r="J893" s="11" t="s">
        <v>14</v>
      </c>
      <c r="K893" s="11" t="s">
        <v>15</v>
      </c>
      <c r="L893" s="12" t="s">
        <v>17</v>
      </c>
      <c r="P893" s="29"/>
      <c r="Q893" s="28"/>
    </row>
    <row r="894" spans="1:17" ht="18" customHeight="1">
      <c r="A894">
        <v>1</v>
      </c>
      <c r="B894" s="16" t="s">
        <v>25</v>
      </c>
      <c r="C894" s="2"/>
      <c r="D894" s="3" t="s">
        <v>253</v>
      </c>
      <c r="E894" s="14" t="s">
        <v>29</v>
      </c>
      <c r="F894" s="3" t="s">
        <v>30</v>
      </c>
      <c r="G894" s="36"/>
      <c r="H894" s="36" t="s">
        <v>30</v>
      </c>
      <c r="I894" s="36" t="s">
        <v>30</v>
      </c>
      <c r="J894" s="36"/>
      <c r="K894" s="31"/>
      <c r="L894" s="7" t="s">
        <v>219</v>
      </c>
    </row>
    <row r="895" spans="1:17" ht="18" customHeight="1">
      <c r="A895">
        <v>2</v>
      </c>
      <c r="B895" s="16" t="s">
        <v>86</v>
      </c>
      <c r="C895" s="2"/>
      <c r="D895" s="3" t="s">
        <v>254</v>
      </c>
      <c r="E895" s="14" t="s">
        <v>31</v>
      </c>
      <c r="F895" s="3"/>
      <c r="G895" s="36"/>
      <c r="H895" s="36" t="s">
        <v>30</v>
      </c>
      <c r="I895" s="36" t="s">
        <v>30</v>
      </c>
      <c r="J895" s="36"/>
      <c r="K895" s="31"/>
      <c r="L895" s="7"/>
    </row>
    <row r="896" spans="1:17" ht="18" customHeight="1">
      <c r="A896">
        <v>3</v>
      </c>
      <c r="B896" s="16" t="s">
        <v>32</v>
      </c>
      <c r="C896" s="2"/>
      <c r="D896" s="3" t="s">
        <v>255</v>
      </c>
      <c r="E896" s="14" t="s">
        <v>31</v>
      </c>
      <c r="F896" s="36"/>
      <c r="G896" s="36"/>
      <c r="H896" s="36"/>
      <c r="I896" s="36"/>
      <c r="J896" s="30"/>
      <c r="K896" s="3"/>
      <c r="L896" s="7"/>
    </row>
    <row r="897" spans="1:14" ht="18" customHeight="1" thickBot="1">
      <c r="A897">
        <v>4</v>
      </c>
      <c r="B897" s="17" t="s">
        <v>89</v>
      </c>
      <c r="C897" s="18"/>
      <c r="D897" s="8" t="s">
        <v>152</v>
      </c>
      <c r="E897" s="15" t="s">
        <v>31</v>
      </c>
      <c r="F897" s="37"/>
      <c r="G897" s="37"/>
      <c r="H897" s="37"/>
      <c r="I897" s="37"/>
      <c r="J897" s="38"/>
      <c r="K897" s="8"/>
      <c r="L897" s="9"/>
    </row>
    <row r="898" spans="1:14" ht="18" customHeight="1" thickTop="1">
      <c r="J898" s="43"/>
    </row>
    <row r="899" spans="1:14" ht="18" customHeight="1">
      <c r="B899" t="str">
        <f>HYPERLINK("#'テーブル設計'!B2","テーブル一覧")</f>
        <v>テーブル一覧</v>
      </c>
    </row>
    <row r="900" spans="1:14" ht="18" customHeight="1" thickBot="1"/>
    <row r="901" spans="1:14" ht="19.5" thickTop="1">
      <c r="B901" s="19" t="s">
        <v>21</v>
      </c>
      <c r="C901" s="4"/>
      <c r="D901" s="5" t="s">
        <v>81</v>
      </c>
      <c r="E901" s="6"/>
      <c r="F901" t="s">
        <v>303</v>
      </c>
      <c r="M901" t="str">
        <f t="shared" si="7"/>
        <v>insulation_rules</v>
      </c>
      <c r="N901">
        <v>901</v>
      </c>
    </row>
    <row r="902" spans="1:14" ht="19.5" thickBot="1">
      <c r="B902" s="17" t="s">
        <v>22</v>
      </c>
      <c r="C902" s="15"/>
      <c r="D902" s="21" t="s">
        <v>304</v>
      </c>
      <c r="E902" s="20"/>
    </row>
    <row r="903" spans="1:14" ht="19.5" thickTop="1"/>
    <row r="904" spans="1:14">
      <c r="B904" s="1" t="s">
        <v>23</v>
      </c>
      <c r="C904" s="14"/>
    </row>
    <row r="905" spans="1:14">
      <c r="C905" t="s">
        <v>242</v>
      </c>
    </row>
    <row r="909" spans="1:14">
      <c r="B909" s="1" t="s">
        <v>24</v>
      </c>
      <c r="C909" s="14"/>
    </row>
    <row r="910" spans="1:14">
      <c r="C910" t="s">
        <v>25</v>
      </c>
    </row>
    <row r="912" spans="1:14">
      <c r="B912" s="1" t="s">
        <v>26</v>
      </c>
      <c r="C912" s="14"/>
    </row>
    <row r="913" spans="2:17">
      <c r="C913" s="10"/>
    </row>
    <row r="918" spans="2:17">
      <c r="B918" s="1" t="s">
        <v>49</v>
      </c>
      <c r="C918" s="14"/>
    </row>
    <row r="919" spans="2:17">
      <c r="C919" s="24" t="s">
        <v>65</v>
      </c>
    </row>
    <row r="927" spans="2:17" ht="19.5" thickBot="1"/>
    <row r="928" spans="2:17" ht="19.5" thickTop="1">
      <c r="B928" s="90" t="s">
        <v>2</v>
      </c>
      <c r="C928" s="91"/>
      <c r="D928" s="11" t="s">
        <v>3</v>
      </c>
      <c r="E928" s="13" t="s">
        <v>4</v>
      </c>
      <c r="F928" s="35" t="s">
        <v>5</v>
      </c>
      <c r="G928" s="35" t="s">
        <v>7</v>
      </c>
      <c r="H928" s="35" t="s">
        <v>27</v>
      </c>
      <c r="I928" s="35" t="s">
        <v>47</v>
      </c>
      <c r="J928" s="11" t="s">
        <v>14</v>
      </c>
      <c r="K928" s="11" t="s">
        <v>15</v>
      </c>
      <c r="L928" s="12" t="s">
        <v>17</v>
      </c>
      <c r="P928" s="29"/>
      <c r="Q928" s="28"/>
    </row>
    <row r="929" spans="1:12">
      <c r="A929">
        <v>1</v>
      </c>
      <c r="B929" s="16" t="s">
        <v>25</v>
      </c>
      <c r="C929" s="2"/>
      <c r="D929" s="3" t="s">
        <v>227</v>
      </c>
      <c r="E929" s="14" t="s">
        <v>29</v>
      </c>
      <c r="F929" s="3" t="s">
        <v>30</v>
      </c>
      <c r="G929" s="36"/>
      <c r="H929" s="36" t="s">
        <v>30</v>
      </c>
      <c r="I929" s="36" t="s">
        <v>30</v>
      </c>
      <c r="J929" s="36"/>
      <c r="K929" s="31"/>
      <c r="L929" s="7" t="s">
        <v>219</v>
      </c>
    </row>
    <row r="930" spans="1:12">
      <c r="A930">
        <v>2</v>
      </c>
      <c r="B930" s="16" t="s">
        <v>120</v>
      </c>
      <c r="C930" s="2"/>
      <c r="D930" s="3" t="s">
        <v>228</v>
      </c>
      <c r="E930" s="14" t="s">
        <v>29</v>
      </c>
      <c r="F930" s="3"/>
      <c r="G930" s="36" t="s">
        <v>30</v>
      </c>
      <c r="H930" s="36"/>
      <c r="I930" s="36"/>
      <c r="J930" s="36"/>
      <c r="K930" s="31" t="s">
        <v>385</v>
      </c>
      <c r="L930" s="7"/>
    </row>
    <row r="931" spans="1:12">
      <c r="A931">
        <v>3</v>
      </c>
      <c r="B931" s="16" t="s">
        <v>229</v>
      </c>
      <c r="C931" s="2"/>
      <c r="D931" s="3" t="s">
        <v>147</v>
      </c>
      <c r="E931" s="14" t="s">
        <v>29</v>
      </c>
      <c r="F931" s="3"/>
      <c r="G931" s="36" t="s">
        <v>30</v>
      </c>
      <c r="H931" s="36"/>
      <c r="I931" s="36"/>
      <c r="J931" s="36"/>
      <c r="K931" s="31" t="s">
        <v>379</v>
      </c>
      <c r="L931" s="7"/>
    </row>
    <row r="932" spans="1:12">
      <c r="A932">
        <v>4</v>
      </c>
      <c r="B932" s="16" t="s">
        <v>189</v>
      </c>
      <c r="C932" s="2"/>
      <c r="D932" s="3" t="s">
        <v>180</v>
      </c>
      <c r="E932" s="14" t="s">
        <v>29</v>
      </c>
      <c r="F932" s="3"/>
      <c r="G932" s="36" t="s">
        <v>30</v>
      </c>
      <c r="H932" s="36"/>
      <c r="I932" s="36"/>
      <c r="J932" s="36"/>
      <c r="K932" s="31" t="s">
        <v>381</v>
      </c>
      <c r="L932" s="7"/>
    </row>
    <row r="933" spans="1:12">
      <c r="A933">
        <v>5</v>
      </c>
      <c r="B933" s="16" t="s">
        <v>230</v>
      </c>
      <c r="C933" s="2"/>
      <c r="D933" s="3" t="s">
        <v>175</v>
      </c>
      <c r="E933" s="14" t="s">
        <v>29</v>
      </c>
      <c r="F933" s="3"/>
      <c r="G933" s="36" t="s">
        <v>30</v>
      </c>
      <c r="H933" s="36"/>
      <c r="I933" s="36"/>
      <c r="J933" s="36"/>
      <c r="K933" s="31" t="s">
        <v>383</v>
      </c>
      <c r="L933" s="7"/>
    </row>
    <row r="934" spans="1:12">
      <c r="A934">
        <v>6</v>
      </c>
      <c r="B934" s="16" t="s">
        <v>339</v>
      </c>
      <c r="C934" s="2"/>
      <c r="D934" s="3" t="s">
        <v>231</v>
      </c>
      <c r="E934" s="14" t="s">
        <v>29</v>
      </c>
      <c r="F934" s="3"/>
      <c r="G934" s="36"/>
      <c r="H934" s="36"/>
      <c r="I934" s="36"/>
      <c r="J934" s="36"/>
      <c r="K934" s="31"/>
      <c r="L934" s="7"/>
    </row>
    <row r="935" spans="1:12">
      <c r="A935">
        <v>7</v>
      </c>
      <c r="B935" s="16" t="s">
        <v>340</v>
      </c>
      <c r="C935" s="2"/>
      <c r="D935" s="3" t="s">
        <v>232</v>
      </c>
      <c r="E935" s="14" t="s">
        <v>29</v>
      </c>
      <c r="F935" s="3"/>
      <c r="G935" s="36"/>
      <c r="H935" s="36"/>
      <c r="I935" s="36"/>
      <c r="J935" s="36"/>
      <c r="K935" s="31"/>
      <c r="L935" s="7"/>
    </row>
    <row r="936" spans="1:12">
      <c r="A936">
        <v>8</v>
      </c>
      <c r="B936" s="16" t="s">
        <v>233</v>
      </c>
      <c r="C936" s="2"/>
      <c r="D936" s="3" t="s">
        <v>220</v>
      </c>
      <c r="E936" s="14" t="s">
        <v>29</v>
      </c>
      <c r="F936" s="3"/>
      <c r="G936" s="36" t="s">
        <v>30</v>
      </c>
      <c r="H936" s="36"/>
      <c r="I936" s="36"/>
      <c r="J936" s="36"/>
      <c r="K936" s="31" t="s">
        <v>387</v>
      </c>
      <c r="L936" s="7"/>
    </row>
    <row r="937" spans="1:12">
      <c r="A937">
        <v>9</v>
      </c>
      <c r="B937" s="16" t="s">
        <v>234</v>
      </c>
      <c r="C937" s="2"/>
      <c r="D937" s="3" t="s">
        <v>235</v>
      </c>
      <c r="E937" s="14" t="s">
        <v>212</v>
      </c>
      <c r="F937" s="3"/>
      <c r="G937" s="36"/>
      <c r="H937" s="36"/>
      <c r="I937" s="36"/>
      <c r="J937" s="36"/>
      <c r="K937" s="31"/>
      <c r="L937" s="7"/>
    </row>
    <row r="938" spans="1:12">
      <c r="A938">
        <v>10</v>
      </c>
      <c r="B938" s="16" t="s">
        <v>236</v>
      </c>
      <c r="C938" s="2"/>
      <c r="D938" s="3" t="s">
        <v>237</v>
      </c>
      <c r="E938" s="14" t="s">
        <v>31</v>
      </c>
      <c r="F938" s="3"/>
      <c r="G938" s="36"/>
      <c r="H938" s="36"/>
      <c r="I938" s="36"/>
      <c r="J938" s="36"/>
      <c r="K938" s="31"/>
      <c r="L938" s="7"/>
    </row>
    <row r="939" spans="1:12">
      <c r="A939">
        <v>11</v>
      </c>
      <c r="B939" s="16" t="s">
        <v>40</v>
      </c>
      <c r="C939" s="2"/>
      <c r="D939" s="3" t="s">
        <v>61</v>
      </c>
      <c r="E939" s="14" t="s">
        <v>33</v>
      </c>
      <c r="F939" s="3"/>
      <c r="G939" s="36"/>
      <c r="H939" s="36"/>
      <c r="I939" s="36"/>
      <c r="J939" s="36"/>
      <c r="K939" s="31"/>
      <c r="L939" s="7"/>
    </row>
    <row r="940" spans="1:12">
      <c r="A940">
        <v>12</v>
      </c>
      <c r="B940" s="16" t="s">
        <v>41</v>
      </c>
      <c r="C940" s="2"/>
      <c r="D940" s="3" t="s">
        <v>62</v>
      </c>
      <c r="E940" s="14" t="s">
        <v>33</v>
      </c>
      <c r="F940" s="3"/>
      <c r="G940" s="36"/>
      <c r="H940" s="36"/>
      <c r="I940" s="36"/>
      <c r="J940" s="36"/>
      <c r="K940" s="31"/>
      <c r="L940" s="7"/>
    </row>
    <row r="941" spans="1:12">
      <c r="A941">
        <v>13</v>
      </c>
      <c r="B941" s="16" t="s">
        <v>238</v>
      </c>
      <c r="C941" s="2"/>
      <c r="D941" s="3" t="s">
        <v>239</v>
      </c>
      <c r="E941" s="14" t="s">
        <v>31</v>
      </c>
      <c r="F941" s="3"/>
      <c r="G941" s="36"/>
      <c r="H941" s="36"/>
      <c r="I941" s="36"/>
      <c r="J941" s="36"/>
      <c r="K941" s="31"/>
      <c r="L941" s="7"/>
    </row>
    <row r="942" spans="1:12">
      <c r="A942">
        <v>14</v>
      </c>
      <c r="B942" s="16" t="s">
        <v>240</v>
      </c>
      <c r="C942" s="2"/>
      <c r="D942" s="3" t="s">
        <v>241</v>
      </c>
      <c r="E942" s="14" t="s">
        <v>31</v>
      </c>
      <c r="F942" s="36"/>
      <c r="G942" s="36"/>
      <c r="H942" s="36"/>
      <c r="I942" s="36"/>
      <c r="J942" s="30"/>
      <c r="K942" s="3"/>
      <c r="L942" s="7"/>
    </row>
    <row r="943" spans="1:12" ht="19.5" thickBot="1">
      <c r="A943">
        <v>15</v>
      </c>
      <c r="B943" s="17" t="s">
        <v>128</v>
      </c>
      <c r="C943" s="18"/>
      <c r="D943" s="8" t="s">
        <v>17</v>
      </c>
      <c r="E943" s="15" t="s">
        <v>31</v>
      </c>
      <c r="F943" s="37"/>
      <c r="G943" s="37"/>
      <c r="H943" s="37"/>
      <c r="I943" s="37"/>
      <c r="J943" s="38"/>
      <c r="K943" s="8"/>
      <c r="L943" s="9"/>
    </row>
    <row r="944" spans="1:12" ht="19.5" thickTop="1">
      <c r="J944" s="43"/>
    </row>
    <row r="945" spans="2:14">
      <c r="B945" t="str">
        <f>HYPERLINK("#'テーブル設計'!B2","テーブル一覧")</f>
        <v>テーブル一覧</v>
      </c>
    </row>
    <row r="946" spans="2:14" ht="19.5" thickBot="1"/>
    <row r="947" spans="2:14" ht="19.5" thickTop="1">
      <c r="B947" s="19" t="s">
        <v>21</v>
      </c>
      <c r="C947" s="4"/>
      <c r="D947" s="5" t="s">
        <v>82</v>
      </c>
      <c r="E947" s="6"/>
      <c r="F947" t="s">
        <v>305</v>
      </c>
      <c r="M947" t="str">
        <f t="shared" ref="M947" si="9">+D947</f>
        <v>painting_rules</v>
      </c>
      <c r="N947">
        <v>947</v>
      </c>
    </row>
    <row r="948" spans="2:14" ht="19.5" thickBot="1">
      <c r="B948" s="17" t="s">
        <v>22</v>
      </c>
      <c r="C948" s="15"/>
      <c r="D948" s="21" t="s">
        <v>306</v>
      </c>
      <c r="E948" s="20"/>
    </row>
    <row r="949" spans="2:14" ht="19.5" thickTop="1"/>
    <row r="950" spans="2:14">
      <c r="B950" s="1" t="s">
        <v>23</v>
      </c>
      <c r="C950" s="14"/>
    </row>
    <row r="955" spans="2:14">
      <c r="B955" s="1" t="s">
        <v>24</v>
      </c>
      <c r="C955" s="14"/>
    </row>
    <row r="956" spans="2:14">
      <c r="C956" t="s">
        <v>25</v>
      </c>
    </row>
    <row r="958" spans="2:14">
      <c r="B958" s="1" t="s">
        <v>26</v>
      </c>
      <c r="C958" s="14"/>
    </row>
    <row r="959" spans="2:14">
      <c r="C959" s="10"/>
    </row>
    <row r="964" spans="1:17">
      <c r="B964" s="1" t="s">
        <v>49</v>
      </c>
      <c r="C964" s="14"/>
    </row>
    <row r="965" spans="1:17">
      <c r="C965" s="24" t="s">
        <v>65</v>
      </c>
    </row>
    <row r="973" spans="1:17" ht="19.5" thickBot="1"/>
    <row r="974" spans="1:17" ht="19.5" thickTop="1">
      <c r="B974" s="90" t="s">
        <v>2</v>
      </c>
      <c r="C974" s="91"/>
      <c r="D974" s="11" t="s">
        <v>3</v>
      </c>
      <c r="E974" s="13" t="s">
        <v>4</v>
      </c>
      <c r="F974" s="35" t="s">
        <v>5</v>
      </c>
      <c r="G974" s="35" t="s">
        <v>7</v>
      </c>
      <c r="H974" s="35" t="s">
        <v>27</v>
      </c>
      <c r="I974" s="35" t="s">
        <v>47</v>
      </c>
      <c r="J974" s="11" t="s">
        <v>14</v>
      </c>
      <c r="K974" s="11" t="s">
        <v>15</v>
      </c>
      <c r="L974" s="12" t="s">
        <v>17</v>
      </c>
      <c r="P974" s="29"/>
      <c r="Q974" s="28"/>
    </row>
    <row r="975" spans="1:17">
      <c r="A975">
        <v>1</v>
      </c>
      <c r="B975" s="16" t="s">
        <v>25</v>
      </c>
      <c r="C975" s="2"/>
      <c r="D975" s="3" t="s">
        <v>250</v>
      </c>
      <c r="E975" s="14" t="s">
        <v>29</v>
      </c>
      <c r="F975" s="3" t="s">
        <v>30</v>
      </c>
      <c r="G975" s="36"/>
      <c r="H975" s="36" t="s">
        <v>30</v>
      </c>
      <c r="I975" s="36" t="s">
        <v>30</v>
      </c>
      <c r="J975" s="36"/>
      <c r="K975" s="31"/>
      <c r="L975" s="7" t="s">
        <v>219</v>
      </c>
    </row>
    <row r="976" spans="1:17">
      <c r="A976">
        <v>2</v>
      </c>
      <c r="B976" s="16" t="s">
        <v>120</v>
      </c>
      <c r="C976" s="2"/>
      <c r="D976" s="3" t="s">
        <v>228</v>
      </c>
      <c r="E976" s="14" t="s">
        <v>29</v>
      </c>
      <c r="F976" s="3"/>
      <c r="G976" s="36" t="s">
        <v>30</v>
      </c>
      <c r="H976" s="36"/>
      <c r="I976" s="36"/>
      <c r="J976" s="36"/>
      <c r="K976" s="30" t="s">
        <v>388</v>
      </c>
      <c r="L976" s="7"/>
    </row>
    <row r="977" spans="1:14">
      <c r="A977">
        <v>3</v>
      </c>
      <c r="B977" s="16" t="s">
        <v>229</v>
      </c>
      <c r="C977" s="2"/>
      <c r="D977" s="3" t="s">
        <v>147</v>
      </c>
      <c r="E977" s="14" t="s">
        <v>29</v>
      </c>
      <c r="F977" s="3"/>
      <c r="G977" s="36" t="s">
        <v>30</v>
      </c>
      <c r="H977" s="36"/>
      <c r="I977" s="36"/>
      <c r="J977" s="36"/>
      <c r="K977" s="31" t="s">
        <v>379</v>
      </c>
      <c r="L977" s="7"/>
    </row>
    <row r="978" spans="1:14">
      <c r="A978">
        <v>4</v>
      </c>
      <c r="B978" s="16" t="s">
        <v>189</v>
      </c>
      <c r="C978" s="2"/>
      <c r="D978" s="3" t="s">
        <v>180</v>
      </c>
      <c r="E978" s="14" t="s">
        <v>29</v>
      </c>
      <c r="F978" s="3"/>
      <c r="G978" s="36" t="s">
        <v>30</v>
      </c>
      <c r="H978" s="36"/>
      <c r="I978" s="36"/>
      <c r="J978" s="36"/>
      <c r="K978" s="31" t="s">
        <v>381</v>
      </c>
      <c r="L978" s="7"/>
    </row>
    <row r="979" spans="1:14">
      <c r="A979">
        <v>5</v>
      </c>
      <c r="B979" s="16" t="s">
        <v>230</v>
      </c>
      <c r="C979" s="2"/>
      <c r="D979" s="3" t="s">
        <v>175</v>
      </c>
      <c r="E979" s="14" t="s">
        <v>29</v>
      </c>
      <c r="F979" s="3"/>
      <c r="G979" s="36" t="s">
        <v>30</v>
      </c>
      <c r="H979" s="36"/>
      <c r="I979" s="36"/>
      <c r="J979" s="36"/>
      <c r="K979" s="31" t="s">
        <v>383</v>
      </c>
      <c r="L979" s="7"/>
    </row>
    <row r="980" spans="1:14">
      <c r="A980">
        <v>6</v>
      </c>
      <c r="B980" s="16" t="s">
        <v>251</v>
      </c>
      <c r="C980" s="2"/>
      <c r="D980" s="3" t="s">
        <v>243</v>
      </c>
      <c r="E980" s="14" t="s">
        <v>29</v>
      </c>
      <c r="F980" s="3"/>
      <c r="G980" s="36" t="s">
        <v>30</v>
      </c>
      <c r="H980" s="36"/>
      <c r="I980" s="36"/>
      <c r="J980" s="36"/>
      <c r="K980" s="31" t="s">
        <v>389</v>
      </c>
      <c r="L980" s="7"/>
    </row>
    <row r="981" spans="1:14">
      <c r="A981">
        <v>7</v>
      </c>
      <c r="B981" s="16" t="s">
        <v>236</v>
      </c>
      <c r="C981" s="2"/>
      <c r="D981" s="3" t="s">
        <v>237</v>
      </c>
      <c r="E981" s="14" t="s">
        <v>31</v>
      </c>
      <c r="F981" s="3"/>
      <c r="G981" s="36"/>
      <c r="H981" s="36"/>
      <c r="I981" s="36"/>
      <c r="J981" s="36"/>
      <c r="K981" s="31"/>
      <c r="L981" s="7"/>
    </row>
    <row r="982" spans="1:14">
      <c r="A982">
        <v>8</v>
      </c>
      <c r="B982" s="16" t="s">
        <v>40</v>
      </c>
      <c r="C982" s="2"/>
      <c r="D982" s="3" t="s">
        <v>61</v>
      </c>
      <c r="E982" s="14" t="s">
        <v>33</v>
      </c>
      <c r="F982" s="3"/>
      <c r="G982" s="36"/>
      <c r="H982" s="36"/>
      <c r="I982" s="36"/>
      <c r="J982" s="36"/>
      <c r="K982" s="31"/>
      <c r="L982" s="7"/>
    </row>
    <row r="983" spans="1:14">
      <c r="A983">
        <v>9</v>
      </c>
      <c r="B983" s="16" t="s">
        <v>41</v>
      </c>
      <c r="C983" s="2"/>
      <c r="D983" s="3" t="s">
        <v>62</v>
      </c>
      <c r="E983" s="14" t="s">
        <v>33</v>
      </c>
      <c r="F983" s="3"/>
      <c r="G983" s="36"/>
      <c r="H983" s="36"/>
      <c r="I983" s="36"/>
      <c r="J983" s="36"/>
      <c r="K983" s="31"/>
      <c r="L983" s="7"/>
    </row>
    <row r="984" spans="1:14">
      <c r="A984">
        <v>10</v>
      </c>
      <c r="B984" s="16" t="s">
        <v>238</v>
      </c>
      <c r="C984" s="2"/>
      <c r="D984" s="3" t="s">
        <v>239</v>
      </c>
      <c r="E984" s="14" t="s">
        <v>31</v>
      </c>
      <c r="F984" s="3"/>
      <c r="G984" s="36"/>
      <c r="H984" s="36"/>
      <c r="I984" s="36"/>
      <c r="J984" s="36"/>
      <c r="K984" s="31"/>
      <c r="L984" s="7"/>
    </row>
    <row r="985" spans="1:14">
      <c r="A985">
        <v>11</v>
      </c>
      <c r="B985" s="16" t="s">
        <v>240</v>
      </c>
      <c r="C985" s="2"/>
      <c r="D985" s="3" t="s">
        <v>241</v>
      </c>
      <c r="E985" s="14" t="s">
        <v>31</v>
      </c>
      <c r="F985" s="36"/>
      <c r="G985" s="36"/>
      <c r="H985" s="36"/>
      <c r="I985" s="36"/>
      <c r="J985" s="30"/>
      <c r="K985" s="3"/>
      <c r="L985" s="7"/>
    </row>
    <row r="986" spans="1:14" ht="19.5" thickBot="1">
      <c r="A986">
        <v>12</v>
      </c>
      <c r="B986" s="17" t="s">
        <v>128</v>
      </c>
      <c r="C986" s="18"/>
      <c r="D986" s="18" t="s">
        <v>17</v>
      </c>
      <c r="E986" s="15" t="s">
        <v>31</v>
      </c>
      <c r="F986" s="37"/>
      <c r="G986" s="37"/>
      <c r="H986" s="37"/>
      <c r="I986" s="37"/>
      <c r="J986" s="38"/>
      <c r="K986" s="8"/>
      <c r="L986" s="9"/>
    </row>
    <row r="987" spans="1:14" ht="19.5" thickTop="1">
      <c r="J987" s="43"/>
    </row>
    <row r="988" spans="1:14">
      <c r="B988" t="str">
        <f>HYPERLINK("#'テーブル設計'!B2","テーブル一覧")</f>
        <v>テーブル一覧</v>
      </c>
    </row>
    <row r="989" spans="1:14" ht="19.5" thickBot="1"/>
    <row r="990" spans="1:14" ht="19.5" thickTop="1">
      <c r="B990" s="19" t="s">
        <v>21</v>
      </c>
      <c r="C990" s="4"/>
      <c r="D990" s="5" t="s">
        <v>308</v>
      </c>
      <c r="E990" s="6"/>
      <c r="F990" t="s">
        <v>307</v>
      </c>
      <c r="M990" t="str">
        <f t="shared" ref="M990" si="10">+D990</f>
        <v>labor_productivity_rules</v>
      </c>
      <c r="N990">
        <v>990</v>
      </c>
    </row>
    <row r="991" spans="1:14" ht="19.5" thickBot="1">
      <c r="B991" s="17" t="s">
        <v>22</v>
      </c>
      <c r="C991" s="15"/>
      <c r="D991" s="21" t="s">
        <v>309</v>
      </c>
      <c r="E991" s="20"/>
    </row>
    <row r="992" spans="1:14" ht="19.5" thickTop="1"/>
    <row r="993" spans="2:3">
      <c r="B993" s="1" t="s">
        <v>23</v>
      </c>
      <c r="C993" s="14"/>
    </row>
    <row r="994" spans="2:3">
      <c r="C994" t="s">
        <v>365</v>
      </c>
    </row>
    <row r="998" spans="2:3">
      <c r="B998" s="1" t="s">
        <v>24</v>
      </c>
      <c r="C998" s="14"/>
    </row>
    <row r="999" spans="2:3">
      <c r="C999" t="s">
        <v>25</v>
      </c>
    </row>
    <row r="1001" spans="2:3">
      <c r="B1001" s="1" t="s">
        <v>26</v>
      </c>
      <c r="C1001" s="14"/>
    </row>
    <row r="1002" spans="2:3">
      <c r="C1002" s="10"/>
    </row>
    <row r="1007" spans="2:3">
      <c r="B1007" s="1" t="s">
        <v>49</v>
      </c>
      <c r="C1007" s="14"/>
    </row>
    <row r="1008" spans="2:3">
      <c r="C1008" s="24" t="s">
        <v>65</v>
      </c>
    </row>
    <row r="1016" spans="1:17" ht="19.5" thickBot="1"/>
    <row r="1017" spans="1:17" ht="19.5" thickTop="1">
      <c r="B1017" s="90" t="s">
        <v>2</v>
      </c>
      <c r="C1017" s="91"/>
      <c r="D1017" s="11" t="s">
        <v>3</v>
      </c>
      <c r="E1017" s="13" t="s">
        <v>4</v>
      </c>
      <c r="F1017" s="35" t="s">
        <v>5</v>
      </c>
      <c r="G1017" s="35" t="s">
        <v>7</v>
      </c>
      <c r="H1017" s="35" t="s">
        <v>27</v>
      </c>
      <c r="I1017" s="35" t="s">
        <v>47</v>
      </c>
      <c r="J1017" s="11" t="s">
        <v>14</v>
      </c>
      <c r="K1017" s="11" t="s">
        <v>15</v>
      </c>
      <c r="L1017" s="12" t="s">
        <v>17</v>
      </c>
      <c r="P1017" s="29"/>
      <c r="Q1017" s="28"/>
    </row>
    <row r="1018" spans="1:17">
      <c r="A1018">
        <v>1</v>
      </c>
      <c r="B1018" s="16" t="s">
        <v>25</v>
      </c>
      <c r="C1018" s="2"/>
      <c r="D1018" s="3" t="s">
        <v>256</v>
      </c>
      <c r="E1018" s="14" t="s">
        <v>29</v>
      </c>
      <c r="F1018" s="3" t="s">
        <v>30</v>
      </c>
      <c r="G1018" s="36"/>
      <c r="H1018" s="36" t="s">
        <v>30</v>
      </c>
      <c r="I1018" s="36" t="s">
        <v>30</v>
      </c>
      <c r="J1018" s="36"/>
      <c r="K1018" s="31"/>
      <c r="L1018" s="7" t="s">
        <v>219</v>
      </c>
    </row>
    <row r="1019" spans="1:17">
      <c r="A1019">
        <v>2</v>
      </c>
      <c r="B1019" s="16" t="s">
        <v>120</v>
      </c>
      <c r="C1019" s="2"/>
      <c r="D1019" s="3" t="s">
        <v>228</v>
      </c>
      <c r="E1019" s="14" t="s">
        <v>29</v>
      </c>
      <c r="F1019" s="3"/>
      <c r="G1019" s="36" t="s">
        <v>30</v>
      </c>
      <c r="H1019" s="36"/>
      <c r="I1019" s="36"/>
      <c r="J1019" s="36"/>
      <c r="K1019" s="31" t="s">
        <v>385</v>
      </c>
      <c r="L1019" s="7"/>
    </row>
    <row r="1020" spans="1:17">
      <c r="A1020">
        <v>3</v>
      </c>
      <c r="B1020" s="16" t="s">
        <v>257</v>
      </c>
      <c r="C1020" s="2"/>
      <c r="D1020" s="3" t="s">
        <v>258</v>
      </c>
      <c r="E1020" s="14" t="s">
        <v>31</v>
      </c>
      <c r="F1020" s="3"/>
      <c r="G1020" s="36"/>
      <c r="H1020" s="36"/>
      <c r="I1020" s="36"/>
      <c r="J1020" s="36"/>
      <c r="K1020" s="31"/>
      <c r="L1020" s="7"/>
    </row>
    <row r="1021" spans="1:17">
      <c r="A1021">
        <v>4</v>
      </c>
      <c r="B1021" s="16" t="s">
        <v>259</v>
      </c>
      <c r="C1021" s="2"/>
      <c r="D1021" s="3" t="s">
        <v>253</v>
      </c>
      <c r="E1021" s="14" t="s">
        <v>29</v>
      </c>
      <c r="F1021" s="3"/>
      <c r="G1021" s="36" t="s">
        <v>30</v>
      </c>
      <c r="H1021" s="36"/>
      <c r="I1021" s="36"/>
      <c r="J1021" s="36"/>
      <c r="K1021" s="31" t="s">
        <v>390</v>
      </c>
      <c r="L1021" s="7"/>
    </row>
    <row r="1022" spans="1:17">
      <c r="A1022">
        <v>5</v>
      </c>
      <c r="B1022" s="16" t="s">
        <v>229</v>
      </c>
      <c r="C1022" s="2"/>
      <c r="D1022" s="3" t="s">
        <v>147</v>
      </c>
      <c r="E1022" s="14" t="s">
        <v>29</v>
      </c>
      <c r="F1022" s="3"/>
      <c r="G1022" s="36" t="s">
        <v>30</v>
      </c>
      <c r="H1022" s="36"/>
      <c r="I1022" s="36"/>
      <c r="J1022" s="36"/>
      <c r="K1022" s="31" t="s">
        <v>379</v>
      </c>
      <c r="L1022" s="7"/>
    </row>
    <row r="1023" spans="1:17">
      <c r="A1023">
        <v>6</v>
      </c>
      <c r="B1023" s="16" t="s">
        <v>189</v>
      </c>
      <c r="C1023" s="2"/>
      <c r="D1023" s="3" t="s">
        <v>180</v>
      </c>
      <c r="E1023" s="14" t="s">
        <v>29</v>
      </c>
      <c r="F1023" s="3"/>
      <c r="G1023" s="36" t="s">
        <v>30</v>
      </c>
      <c r="H1023" s="36"/>
      <c r="I1023" s="36"/>
      <c r="J1023" s="36"/>
      <c r="K1023" s="31" t="s">
        <v>381</v>
      </c>
      <c r="L1023" s="7"/>
    </row>
    <row r="1024" spans="1:17">
      <c r="A1024">
        <v>7</v>
      </c>
      <c r="B1024" s="16" t="s">
        <v>260</v>
      </c>
      <c r="C1024" s="2"/>
      <c r="D1024" s="3" t="s">
        <v>202</v>
      </c>
      <c r="E1024" s="14" t="s">
        <v>29</v>
      </c>
      <c r="F1024" s="3"/>
      <c r="G1024" s="36" t="s">
        <v>30</v>
      </c>
      <c r="H1024" s="36"/>
      <c r="I1024" s="36"/>
      <c r="J1024" s="36"/>
      <c r="K1024" s="30" t="s">
        <v>391</v>
      </c>
      <c r="L1024" s="7"/>
    </row>
    <row r="1025" spans="1:14">
      <c r="A1025">
        <v>8</v>
      </c>
      <c r="B1025" s="16" t="s">
        <v>230</v>
      </c>
      <c r="C1025" s="2"/>
      <c r="D1025" s="3" t="s">
        <v>175</v>
      </c>
      <c r="E1025" s="14" t="s">
        <v>29</v>
      </c>
      <c r="F1025" s="3"/>
      <c r="G1025" s="36" t="s">
        <v>30</v>
      </c>
      <c r="H1025" s="36"/>
      <c r="I1025" s="36"/>
      <c r="J1025" s="36"/>
      <c r="K1025" s="31" t="s">
        <v>383</v>
      </c>
      <c r="L1025" s="7"/>
    </row>
    <row r="1026" spans="1:14">
      <c r="A1026">
        <v>9</v>
      </c>
      <c r="B1026" s="16" t="s">
        <v>233</v>
      </c>
      <c r="C1026" s="2"/>
      <c r="D1026" s="3" t="s">
        <v>220</v>
      </c>
      <c r="E1026" s="14" t="s">
        <v>29</v>
      </c>
      <c r="F1026" s="3"/>
      <c r="G1026" s="36" t="s">
        <v>30</v>
      </c>
      <c r="H1026" s="36"/>
      <c r="I1026" s="36"/>
      <c r="J1026" s="36"/>
      <c r="K1026" s="31" t="s">
        <v>387</v>
      </c>
      <c r="L1026" s="7"/>
    </row>
    <row r="1027" spans="1:14">
      <c r="A1027">
        <v>10</v>
      </c>
      <c r="B1027" s="16" t="s">
        <v>251</v>
      </c>
      <c r="C1027" s="2"/>
      <c r="D1027" s="3" t="s">
        <v>243</v>
      </c>
      <c r="E1027" s="14" t="s">
        <v>29</v>
      </c>
      <c r="F1027" s="3"/>
      <c r="G1027" s="36" t="s">
        <v>30</v>
      </c>
      <c r="H1027" s="36"/>
      <c r="I1027" s="36"/>
      <c r="J1027" s="36"/>
      <c r="K1027" s="31" t="s">
        <v>389</v>
      </c>
      <c r="L1027" s="7"/>
    </row>
    <row r="1028" spans="1:14">
      <c r="A1028">
        <v>11</v>
      </c>
      <c r="B1028" s="16" t="s">
        <v>236</v>
      </c>
      <c r="C1028" s="2"/>
      <c r="D1028" s="3" t="s">
        <v>237</v>
      </c>
      <c r="E1028" s="14" t="s">
        <v>31</v>
      </c>
      <c r="F1028" s="3"/>
      <c r="G1028" s="36"/>
      <c r="H1028" s="36"/>
      <c r="I1028" s="36"/>
      <c r="J1028" s="36"/>
      <c r="K1028" s="31"/>
      <c r="L1028" s="7"/>
    </row>
    <row r="1029" spans="1:14">
      <c r="A1029">
        <v>12</v>
      </c>
      <c r="B1029" s="16" t="s">
        <v>261</v>
      </c>
      <c r="C1029" s="2"/>
      <c r="D1029" s="3" t="s">
        <v>262</v>
      </c>
      <c r="E1029" s="14" t="s">
        <v>31</v>
      </c>
      <c r="F1029" s="3"/>
      <c r="G1029" s="36"/>
      <c r="H1029" s="36"/>
      <c r="I1029" s="36"/>
      <c r="J1029" s="36"/>
      <c r="K1029" s="31"/>
      <c r="L1029" s="7"/>
    </row>
    <row r="1030" spans="1:14">
      <c r="A1030">
        <v>13</v>
      </c>
      <c r="B1030" s="16" t="s">
        <v>263</v>
      </c>
      <c r="C1030" s="2"/>
      <c r="D1030" s="3" t="s">
        <v>264</v>
      </c>
      <c r="E1030" s="14" t="s">
        <v>212</v>
      </c>
      <c r="F1030" s="3"/>
      <c r="G1030" s="36"/>
      <c r="H1030" s="36"/>
      <c r="I1030" s="36"/>
      <c r="J1030" s="36"/>
      <c r="K1030" s="31"/>
      <c r="L1030" s="7"/>
    </row>
    <row r="1031" spans="1:14">
      <c r="A1031">
        <v>14</v>
      </c>
      <c r="B1031" s="16" t="s">
        <v>40</v>
      </c>
      <c r="C1031" s="2"/>
      <c r="D1031" s="3" t="s">
        <v>61</v>
      </c>
      <c r="E1031" s="14" t="s">
        <v>33</v>
      </c>
      <c r="F1031" s="3"/>
      <c r="G1031" s="36"/>
      <c r="H1031" s="36"/>
      <c r="I1031" s="36"/>
      <c r="J1031" s="36"/>
      <c r="K1031" s="31"/>
      <c r="L1031" s="7"/>
    </row>
    <row r="1032" spans="1:14">
      <c r="A1032">
        <v>15</v>
      </c>
      <c r="B1032" s="16" t="s">
        <v>41</v>
      </c>
      <c r="C1032" s="2"/>
      <c r="D1032" s="3" t="s">
        <v>62</v>
      </c>
      <c r="E1032" s="14" t="s">
        <v>33</v>
      </c>
      <c r="F1032" s="3"/>
      <c r="G1032" s="36"/>
      <c r="H1032" s="36"/>
      <c r="I1032" s="36"/>
      <c r="J1032" s="36"/>
      <c r="K1032" s="31"/>
      <c r="L1032" s="7"/>
    </row>
    <row r="1033" spans="1:14">
      <c r="A1033">
        <v>16</v>
      </c>
      <c r="B1033" s="16" t="s">
        <v>238</v>
      </c>
      <c r="C1033" s="2"/>
      <c r="D1033" s="3" t="s">
        <v>239</v>
      </c>
      <c r="E1033" s="14" t="s">
        <v>31</v>
      </c>
      <c r="F1033" s="3"/>
      <c r="G1033" s="36"/>
      <c r="H1033" s="36"/>
      <c r="I1033" s="36"/>
      <c r="J1033" s="36"/>
      <c r="K1033" s="31"/>
      <c r="L1033" s="7"/>
    </row>
    <row r="1034" spans="1:14">
      <c r="A1034">
        <v>17</v>
      </c>
      <c r="B1034" s="16" t="s">
        <v>240</v>
      </c>
      <c r="C1034" s="2"/>
      <c r="D1034" s="3" t="s">
        <v>241</v>
      </c>
      <c r="E1034" s="14" t="s">
        <v>31</v>
      </c>
      <c r="F1034" s="36"/>
      <c r="G1034" s="36"/>
      <c r="H1034" s="36"/>
      <c r="I1034" s="36"/>
      <c r="J1034" s="30"/>
      <c r="K1034" s="3"/>
      <c r="L1034" s="7"/>
    </row>
    <row r="1035" spans="1:14" ht="19.5" thickBot="1">
      <c r="A1035">
        <v>18</v>
      </c>
      <c r="B1035" s="17" t="s">
        <v>128</v>
      </c>
      <c r="C1035" s="79"/>
      <c r="D1035" s="8" t="s">
        <v>17</v>
      </c>
      <c r="E1035" s="15" t="s">
        <v>31</v>
      </c>
      <c r="F1035" s="37"/>
      <c r="G1035" s="37"/>
      <c r="H1035" s="37"/>
      <c r="I1035" s="37"/>
      <c r="J1035" s="38"/>
      <c r="K1035" s="8"/>
      <c r="L1035" s="9"/>
    </row>
    <row r="1036" spans="1:14" ht="19.5" thickTop="1">
      <c r="J1036" s="43"/>
    </row>
    <row r="1037" spans="1:14">
      <c r="B1037" t="str">
        <f>HYPERLINK("#'テーブル設計'!B2","テーブル一覧")</f>
        <v>テーブル一覧</v>
      </c>
    </row>
    <row r="1038" spans="1:14" ht="19.5" thickBot="1"/>
    <row r="1039" spans="1:14" ht="19.5" thickTop="1">
      <c r="B1039" s="19" t="s">
        <v>21</v>
      </c>
      <c r="C1039" s="4"/>
      <c r="D1039" s="5" t="s">
        <v>618</v>
      </c>
      <c r="E1039" s="6"/>
      <c r="F1039" t="s">
        <v>615</v>
      </c>
      <c r="M1039" t="str">
        <f>+D1039</f>
        <v>inference_results</v>
      </c>
      <c r="N1039">
        <v>1039</v>
      </c>
    </row>
    <row r="1040" spans="1:14" ht="19.5" thickBot="1">
      <c r="B1040" s="17" t="s">
        <v>22</v>
      </c>
      <c r="C1040" s="15"/>
      <c r="D1040" s="21" t="s">
        <v>619</v>
      </c>
      <c r="E1040" s="20"/>
    </row>
    <row r="1041" spans="2:3" ht="19.5" thickTop="1"/>
    <row r="1042" spans="2:3">
      <c r="B1042" s="1" t="s">
        <v>23</v>
      </c>
      <c r="C1042" s="14"/>
    </row>
    <row r="1047" spans="2:3">
      <c r="B1047" s="1" t="s">
        <v>24</v>
      </c>
      <c r="C1047" s="14"/>
    </row>
    <row r="1048" spans="2:3">
      <c r="C1048" t="s">
        <v>25</v>
      </c>
    </row>
    <row r="1050" spans="2:3">
      <c r="B1050" s="1" t="s">
        <v>26</v>
      </c>
      <c r="C1050" s="14"/>
    </row>
    <row r="1051" spans="2:3">
      <c r="C1051" s="10"/>
    </row>
    <row r="1056" spans="2:3">
      <c r="B1056" s="1" t="s">
        <v>49</v>
      </c>
      <c r="C1056" s="14"/>
    </row>
    <row r="1057" spans="1:17">
      <c r="C1057" s="24" t="s">
        <v>646</v>
      </c>
    </row>
    <row r="1058" spans="1:17">
      <c r="C1058" t="s">
        <v>647</v>
      </c>
    </row>
    <row r="1065" spans="1:17" ht="19.5" thickBot="1"/>
    <row r="1066" spans="1:17" ht="19.5" thickTop="1">
      <c r="B1066" s="90" t="s">
        <v>2</v>
      </c>
      <c r="C1066" s="91"/>
      <c r="D1066" s="11" t="s">
        <v>3</v>
      </c>
      <c r="E1066" s="13" t="s">
        <v>4</v>
      </c>
      <c r="F1066" s="35" t="s">
        <v>5</v>
      </c>
      <c r="G1066" s="35" t="s">
        <v>7</v>
      </c>
      <c r="H1066" s="35" t="s">
        <v>27</v>
      </c>
      <c r="I1066" s="35" t="s">
        <v>47</v>
      </c>
      <c r="J1066" s="11" t="s">
        <v>14</v>
      </c>
      <c r="K1066" s="11" t="s">
        <v>15</v>
      </c>
      <c r="L1066" s="12" t="s">
        <v>17</v>
      </c>
      <c r="P1066" s="29"/>
      <c r="Q1066" s="28"/>
    </row>
    <row r="1067" spans="1:17">
      <c r="A1067">
        <v>1</v>
      </c>
      <c r="B1067" s="16" t="s">
        <v>25</v>
      </c>
      <c r="C1067" s="2"/>
      <c r="D1067" s="3" t="s">
        <v>648</v>
      </c>
      <c r="E1067" s="14" t="s">
        <v>29</v>
      </c>
      <c r="F1067" s="3" t="s">
        <v>416</v>
      </c>
      <c r="G1067" s="36"/>
      <c r="H1067" s="36" t="s">
        <v>416</v>
      </c>
      <c r="I1067" s="36"/>
      <c r="J1067" s="36"/>
      <c r="K1067" s="31"/>
      <c r="L1067" s="7" t="s">
        <v>649</v>
      </c>
    </row>
    <row r="1068" spans="1:17">
      <c r="A1068">
        <v>2</v>
      </c>
      <c r="B1068" s="16" t="s">
        <v>119</v>
      </c>
      <c r="C1068" s="2"/>
      <c r="D1068" s="3" t="s">
        <v>100</v>
      </c>
      <c r="E1068" s="14" t="s">
        <v>29</v>
      </c>
      <c r="F1068" s="3"/>
      <c r="G1068" s="36" t="s">
        <v>416</v>
      </c>
      <c r="H1068" s="36" t="s">
        <v>416</v>
      </c>
      <c r="I1068" s="36"/>
      <c r="J1068" s="36"/>
      <c r="K1068" s="31" t="s">
        <v>378</v>
      </c>
      <c r="L1068" s="7" t="s">
        <v>650</v>
      </c>
    </row>
    <row r="1069" spans="1:17">
      <c r="A1069">
        <v>3</v>
      </c>
      <c r="B1069" s="16" t="s">
        <v>342</v>
      </c>
      <c r="C1069" s="2"/>
      <c r="D1069" s="3" t="s">
        <v>367</v>
      </c>
      <c r="E1069" s="14" t="s">
        <v>29</v>
      </c>
      <c r="F1069" s="3"/>
      <c r="G1069" s="36" t="s">
        <v>416</v>
      </c>
      <c r="H1069" s="36" t="s">
        <v>416</v>
      </c>
      <c r="I1069" s="36"/>
      <c r="J1069" s="36"/>
      <c r="K1069" s="31" t="s">
        <v>382</v>
      </c>
      <c r="L1069" s="7" t="s">
        <v>651</v>
      </c>
    </row>
    <row r="1070" spans="1:17">
      <c r="A1070">
        <v>4</v>
      </c>
      <c r="B1070" s="16" t="s">
        <v>652</v>
      </c>
      <c r="C1070" s="2"/>
      <c r="D1070" s="3" t="s">
        <v>653</v>
      </c>
      <c r="E1070" s="14" t="s">
        <v>654</v>
      </c>
      <c r="F1070" s="3"/>
      <c r="G1070" s="36"/>
      <c r="H1070" s="36" t="s">
        <v>416</v>
      </c>
      <c r="I1070" s="36"/>
      <c r="J1070" s="36"/>
      <c r="K1070" s="31"/>
      <c r="L1070" s="7" t="s">
        <v>655</v>
      </c>
    </row>
    <row r="1071" spans="1:17">
      <c r="A1071">
        <v>5</v>
      </c>
      <c r="B1071" s="16" t="s">
        <v>656</v>
      </c>
      <c r="C1071" s="2"/>
      <c r="D1071" s="3" t="s">
        <v>657</v>
      </c>
      <c r="E1071" s="14" t="s">
        <v>31</v>
      </c>
      <c r="F1071" s="3"/>
      <c r="G1071" s="36"/>
      <c r="H1071" s="36"/>
      <c r="I1071" s="36"/>
      <c r="J1071" s="36"/>
      <c r="K1071" s="31"/>
      <c r="L1071" s="7" t="s">
        <v>658</v>
      </c>
    </row>
    <row r="1072" spans="1:17">
      <c r="A1072">
        <v>6</v>
      </c>
      <c r="B1072" s="16" t="s">
        <v>659</v>
      </c>
      <c r="C1072" s="2"/>
      <c r="D1072" s="3" t="s">
        <v>660</v>
      </c>
      <c r="E1072" s="14" t="s">
        <v>31</v>
      </c>
      <c r="F1072" s="3"/>
      <c r="G1072" s="36"/>
      <c r="H1072" s="36"/>
      <c r="I1072" s="36"/>
      <c r="J1072" s="36"/>
      <c r="K1072" s="31"/>
      <c r="L1072" s="7" t="s">
        <v>661</v>
      </c>
    </row>
    <row r="1073" spans="1:14">
      <c r="A1073">
        <v>7</v>
      </c>
      <c r="B1073" s="16" t="s">
        <v>662</v>
      </c>
      <c r="C1073" s="2"/>
      <c r="D1073" s="3" t="s">
        <v>663</v>
      </c>
      <c r="E1073" s="14" t="s">
        <v>654</v>
      </c>
      <c r="F1073" s="3"/>
      <c r="G1073" s="36"/>
      <c r="H1073" s="36" t="s">
        <v>416</v>
      </c>
      <c r="I1073" s="36"/>
      <c r="J1073" s="36"/>
      <c r="K1073" s="31"/>
      <c r="L1073" s="7" t="s">
        <v>664</v>
      </c>
    </row>
    <row r="1074" spans="1:14">
      <c r="A1074">
        <v>8</v>
      </c>
      <c r="B1074" s="16" t="s">
        <v>665</v>
      </c>
      <c r="C1074" s="2"/>
      <c r="D1074" s="3" t="s">
        <v>666</v>
      </c>
      <c r="E1074" s="14" t="s">
        <v>667</v>
      </c>
      <c r="F1074" s="3"/>
      <c r="G1074" s="36"/>
      <c r="H1074" s="36"/>
      <c r="I1074" s="36"/>
      <c r="J1074" s="36"/>
      <c r="K1074" s="31"/>
      <c r="L1074" s="7" t="s">
        <v>668</v>
      </c>
    </row>
    <row r="1075" spans="1:14">
      <c r="A1075">
        <v>9</v>
      </c>
      <c r="B1075" s="16" t="s">
        <v>332</v>
      </c>
      <c r="C1075" s="2"/>
      <c r="D1075" s="3" t="s">
        <v>333</v>
      </c>
      <c r="E1075" s="14" t="s">
        <v>669</v>
      </c>
      <c r="F1075" s="3"/>
      <c r="G1075" s="36"/>
      <c r="H1075" s="36"/>
      <c r="I1075" s="36"/>
      <c r="J1075" s="36"/>
      <c r="K1075" s="31"/>
      <c r="L1075" s="7" t="s">
        <v>670</v>
      </c>
    </row>
    <row r="1076" spans="1:14">
      <c r="A1076">
        <v>10</v>
      </c>
      <c r="B1076" s="16" t="s">
        <v>671</v>
      </c>
      <c r="C1076" s="2"/>
      <c r="D1076" s="3" t="s">
        <v>672</v>
      </c>
      <c r="E1076" s="14" t="s">
        <v>673</v>
      </c>
      <c r="F1076" s="3"/>
      <c r="G1076" s="36"/>
      <c r="H1076" s="36" t="s">
        <v>416</v>
      </c>
      <c r="I1076" s="36"/>
      <c r="J1076" s="36"/>
      <c r="K1076" s="31"/>
      <c r="L1076" s="7" t="s">
        <v>674</v>
      </c>
    </row>
    <row r="1077" spans="1:14">
      <c r="A1077">
        <v>11</v>
      </c>
      <c r="B1077" s="16" t="s">
        <v>675</v>
      </c>
      <c r="C1077" s="2"/>
      <c r="D1077" s="3" t="s">
        <v>676</v>
      </c>
      <c r="E1077" s="14" t="s">
        <v>29</v>
      </c>
      <c r="F1077" s="3"/>
      <c r="G1077" s="36" t="s">
        <v>416</v>
      </c>
      <c r="H1077" s="36"/>
      <c r="I1077" s="36"/>
      <c r="J1077" s="36"/>
      <c r="K1077" s="31" t="s">
        <v>677</v>
      </c>
      <c r="L1077" s="7"/>
    </row>
    <row r="1078" spans="1:14">
      <c r="A1078">
        <v>12</v>
      </c>
      <c r="B1078" s="16" t="s">
        <v>678</v>
      </c>
      <c r="C1078" s="2"/>
      <c r="D1078" s="3" t="s">
        <v>679</v>
      </c>
      <c r="E1078" s="14" t="s">
        <v>36</v>
      </c>
      <c r="F1078" s="3"/>
      <c r="G1078" s="36"/>
      <c r="H1078" s="36" t="s">
        <v>416</v>
      </c>
      <c r="I1078" s="36"/>
      <c r="J1078" s="36"/>
      <c r="K1078" s="31"/>
      <c r="L1078" s="7" t="s">
        <v>680</v>
      </c>
    </row>
    <row r="1079" spans="1:14">
      <c r="A1079">
        <v>13</v>
      </c>
      <c r="B1079" s="16" t="s">
        <v>57</v>
      </c>
      <c r="C1079" s="2"/>
      <c r="D1079" s="3" t="s">
        <v>56</v>
      </c>
      <c r="E1079" s="14" t="s">
        <v>42</v>
      </c>
      <c r="F1079" s="3"/>
      <c r="G1079" s="36"/>
      <c r="H1079" s="36" t="s">
        <v>416</v>
      </c>
      <c r="I1079" s="36"/>
      <c r="J1079" s="36" t="b">
        <v>1</v>
      </c>
      <c r="K1079" s="31"/>
      <c r="L1079" s="7"/>
    </row>
    <row r="1080" spans="1:14">
      <c r="A1080">
        <v>14</v>
      </c>
      <c r="B1080" s="16" t="s">
        <v>34</v>
      </c>
      <c r="C1080" s="2"/>
      <c r="D1080" s="3" t="s">
        <v>35</v>
      </c>
      <c r="E1080" s="14" t="s">
        <v>36</v>
      </c>
      <c r="F1080" s="36"/>
      <c r="G1080" s="36"/>
      <c r="H1080" s="36" t="s">
        <v>416</v>
      </c>
      <c r="I1080" s="36"/>
      <c r="J1080" s="30" t="s">
        <v>37</v>
      </c>
      <c r="K1080" s="3"/>
      <c r="L1080" s="7"/>
    </row>
    <row r="1081" spans="1:14" ht="19.5" thickBot="1">
      <c r="A1081">
        <v>15</v>
      </c>
      <c r="B1081" s="17" t="s">
        <v>38</v>
      </c>
      <c r="C1081" s="18"/>
      <c r="D1081" s="8" t="s">
        <v>39</v>
      </c>
      <c r="E1081" s="15" t="s">
        <v>36</v>
      </c>
      <c r="F1081" s="37"/>
      <c r="G1081" s="37"/>
      <c r="H1081" s="37"/>
      <c r="I1081" s="37"/>
      <c r="J1081" s="38" t="s">
        <v>37</v>
      </c>
      <c r="K1081" s="8"/>
      <c r="L1081" s="9" t="s">
        <v>50</v>
      </c>
    </row>
    <row r="1082" spans="1:14" ht="19.5" thickTop="1">
      <c r="J1082" s="43"/>
    </row>
    <row r="1083" spans="1:14">
      <c r="B1083" t="str">
        <f>HYPERLINK("#'テーブル設計'!B2","テーブル一覧")</f>
        <v>テーブル一覧</v>
      </c>
    </row>
    <row r="1084" spans="1:14" ht="19.5" thickBot="1"/>
    <row r="1085" spans="1:14" ht="19.5" thickTop="1">
      <c r="B1085" s="19" t="s">
        <v>21</v>
      </c>
      <c r="C1085" s="4"/>
      <c r="D1085" s="5" t="s">
        <v>620</v>
      </c>
      <c r="E1085" s="6"/>
      <c r="F1085" s="24" t="s">
        <v>617</v>
      </c>
      <c r="M1085" t="str">
        <f>+D1085</f>
        <v>rule_evaluations</v>
      </c>
      <c r="N1085">
        <v>1086</v>
      </c>
    </row>
    <row r="1086" spans="1:14" ht="19.5" thickBot="1">
      <c r="B1086" s="17" t="s">
        <v>22</v>
      </c>
      <c r="C1086" s="15"/>
      <c r="D1086" s="21" t="s">
        <v>621</v>
      </c>
      <c r="E1086" s="20"/>
      <c r="F1086"/>
    </row>
    <row r="1087" spans="1:14" ht="19.5" thickTop="1"/>
    <row r="1088" spans="1:14">
      <c r="B1088" s="1" t="s">
        <v>23</v>
      </c>
      <c r="C1088" s="14"/>
    </row>
    <row r="1093" spans="2:3">
      <c r="B1093" s="1" t="s">
        <v>24</v>
      </c>
      <c r="C1093" s="14"/>
    </row>
    <row r="1094" spans="2:3">
      <c r="C1094" t="s">
        <v>25</v>
      </c>
    </row>
    <row r="1096" spans="2:3">
      <c r="B1096" s="1" t="s">
        <v>26</v>
      </c>
      <c r="C1096" s="14"/>
    </row>
    <row r="1097" spans="2:3">
      <c r="C1097" s="10"/>
    </row>
    <row r="1102" spans="2:3">
      <c r="B1102" s="1" t="s">
        <v>49</v>
      </c>
      <c r="C1102" s="14"/>
    </row>
    <row r="1103" spans="2:3">
      <c r="C1103" s="24" t="s">
        <v>706</v>
      </c>
    </row>
    <row r="1104" spans="2:3">
      <c r="C1104" t="s">
        <v>707</v>
      </c>
    </row>
    <row r="1105" spans="1:17">
      <c r="C1105" t="s">
        <v>708</v>
      </c>
    </row>
    <row r="1106" spans="1:17">
      <c r="C1106" t="s">
        <v>709</v>
      </c>
    </row>
    <row r="1111" spans="1:17" ht="19.5" thickBot="1"/>
    <row r="1112" spans="1:17" ht="19.5" thickTop="1">
      <c r="B1112" s="90" t="s">
        <v>2</v>
      </c>
      <c r="C1112" s="91"/>
      <c r="D1112" s="11" t="s">
        <v>3</v>
      </c>
      <c r="E1112" s="13" t="s">
        <v>4</v>
      </c>
      <c r="F1112" s="35" t="s">
        <v>5</v>
      </c>
      <c r="G1112" s="35" t="s">
        <v>7</v>
      </c>
      <c r="H1112" s="35" t="s">
        <v>27</v>
      </c>
      <c r="I1112" s="35" t="s">
        <v>47</v>
      </c>
      <c r="J1112" s="11" t="s">
        <v>14</v>
      </c>
      <c r="K1112" s="11" t="s">
        <v>15</v>
      </c>
      <c r="L1112" s="12" t="s">
        <v>17</v>
      </c>
      <c r="P1112" s="29"/>
      <c r="Q1112" s="28"/>
    </row>
    <row r="1113" spans="1:17">
      <c r="A1113">
        <v>1</v>
      </c>
      <c r="B1113" s="16" t="s">
        <v>25</v>
      </c>
      <c r="C1113" s="2"/>
      <c r="D1113" s="3" t="s">
        <v>681</v>
      </c>
      <c r="E1113" s="14" t="s">
        <v>29</v>
      </c>
      <c r="F1113" s="3" t="s">
        <v>405</v>
      </c>
      <c r="G1113" s="36"/>
      <c r="H1113" s="36" t="s">
        <v>405</v>
      </c>
      <c r="I1113" s="36"/>
      <c r="J1113" s="36"/>
      <c r="K1113" s="31"/>
      <c r="L1113" s="7" t="s">
        <v>649</v>
      </c>
    </row>
    <row r="1114" spans="1:17">
      <c r="A1114">
        <v>2</v>
      </c>
      <c r="B1114" s="16" t="s">
        <v>119</v>
      </c>
      <c r="C1114" s="2"/>
      <c r="D1114" s="3" t="s">
        <v>100</v>
      </c>
      <c r="E1114" s="14" t="s">
        <v>29</v>
      </c>
      <c r="F1114" s="3"/>
      <c r="G1114" s="36" t="s">
        <v>405</v>
      </c>
      <c r="H1114" s="36" t="s">
        <v>405</v>
      </c>
      <c r="I1114" s="36"/>
      <c r="J1114" s="36"/>
      <c r="K1114" s="31" t="s">
        <v>378</v>
      </c>
      <c r="L1114" s="7" t="s">
        <v>682</v>
      </c>
    </row>
    <row r="1115" spans="1:17">
      <c r="A1115">
        <v>3</v>
      </c>
      <c r="B1115" s="16" t="s">
        <v>342</v>
      </c>
      <c r="C1115" s="2"/>
      <c r="D1115" s="3" t="s">
        <v>367</v>
      </c>
      <c r="E1115" s="14" t="s">
        <v>29</v>
      </c>
      <c r="F1115" s="3"/>
      <c r="G1115" s="36" t="s">
        <v>405</v>
      </c>
      <c r="H1115" s="36" t="s">
        <v>405</v>
      </c>
      <c r="I1115" s="36"/>
      <c r="J1115" s="36"/>
      <c r="K1115" s="31" t="s">
        <v>382</v>
      </c>
      <c r="L1115" s="7" t="s">
        <v>683</v>
      </c>
    </row>
    <row r="1116" spans="1:17">
      <c r="A1116">
        <v>4</v>
      </c>
      <c r="B1116" s="16" t="s">
        <v>548</v>
      </c>
      <c r="C1116" s="2"/>
      <c r="D1116" s="3" t="s">
        <v>684</v>
      </c>
      <c r="E1116" s="14" t="s">
        <v>654</v>
      </c>
      <c r="F1116" s="3"/>
      <c r="G1116" s="36"/>
      <c r="H1116" s="36" t="s">
        <v>405</v>
      </c>
      <c r="I1116" s="36"/>
      <c r="J1116" s="36"/>
      <c r="K1116" s="31"/>
      <c r="L1116" s="7" t="s">
        <v>685</v>
      </c>
    </row>
    <row r="1117" spans="1:17">
      <c r="A1117">
        <v>5</v>
      </c>
      <c r="B1117" s="16" t="s">
        <v>634</v>
      </c>
      <c r="C1117" s="2"/>
      <c r="D1117" s="3" t="s">
        <v>635</v>
      </c>
      <c r="E1117" s="14" t="s">
        <v>29</v>
      </c>
      <c r="F1117" s="3"/>
      <c r="G1117" s="36"/>
      <c r="H1117" s="36"/>
      <c r="I1117" s="36"/>
      <c r="J1117" s="36"/>
      <c r="K1117" s="31"/>
      <c r="L1117" s="7" t="s">
        <v>686</v>
      </c>
    </row>
    <row r="1118" spans="1:17">
      <c r="A1118">
        <v>6</v>
      </c>
      <c r="B1118" s="16" t="s">
        <v>638</v>
      </c>
      <c r="C1118" s="2"/>
      <c r="D1118" s="3" t="s">
        <v>422</v>
      </c>
      <c r="E1118" s="14" t="s">
        <v>29</v>
      </c>
      <c r="F1118" s="3"/>
      <c r="G1118" s="36" t="s">
        <v>405</v>
      </c>
      <c r="H1118" s="36" t="s">
        <v>405</v>
      </c>
      <c r="I1118" s="36"/>
      <c r="J1118" s="36"/>
      <c r="K1118" s="31" t="s">
        <v>687</v>
      </c>
      <c r="L1118" s="7" t="s">
        <v>688</v>
      </c>
    </row>
    <row r="1119" spans="1:17">
      <c r="A1119">
        <v>7</v>
      </c>
      <c r="B1119" s="16" t="s">
        <v>689</v>
      </c>
      <c r="C1119" s="2"/>
      <c r="D1119" s="3" t="s">
        <v>690</v>
      </c>
      <c r="E1119" s="14" t="s">
        <v>673</v>
      </c>
      <c r="F1119" s="3"/>
      <c r="G1119" s="36"/>
      <c r="H1119" s="36" t="s">
        <v>405</v>
      </c>
      <c r="I1119" s="36"/>
      <c r="J1119" s="36"/>
      <c r="K1119" s="31"/>
      <c r="L1119" s="7" t="s">
        <v>691</v>
      </c>
    </row>
    <row r="1120" spans="1:17">
      <c r="A1120">
        <v>8</v>
      </c>
      <c r="B1120" s="16" t="s">
        <v>692</v>
      </c>
      <c r="C1120" s="2"/>
      <c r="D1120" s="3" t="s">
        <v>693</v>
      </c>
      <c r="E1120" s="27" t="s">
        <v>705</v>
      </c>
      <c r="F1120" s="3"/>
      <c r="G1120" s="36"/>
      <c r="H1120" s="36" t="s">
        <v>405</v>
      </c>
      <c r="I1120" s="36"/>
      <c r="J1120" s="36"/>
      <c r="K1120" s="31"/>
      <c r="L1120" s="7" t="s">
        <v>694</v>
      </c>
    </row>
    <row r="1121" spans="1:14">
      <c r="A1121">
        <v>9</v>
      </c>
      <c r="B1121" s="16" t="s">
        <v>643</v>
      </c>
      <c r="C1121" s="2"/>
      <c r="D1121" s="3" t="s">
        <v>644</v>
      </c>
      <c r="E1121" s="14" t="s">
        <v>31</v>
      </c>
      <c r="F1121" s="3"/>
      <c r="G1121" s="36"/>
      <c r="H1121" s="36"/>
      <c r="I1121" s="36"/>
      <c r="J1121" s="36"/>
      <c r="K1121" s="31"/>
      <c r="L1121" s="7" t="s">
        <v>695</v>
      </c>
    </row>
    <row r="1122" spans="1:14">
      <c r="A1122">
        <v>10</v>
      </c>
      <c r="B1122" s="16" t="s">
        <v>696</v>
      </c>
      <c r="C1122" s="2"/>
      <c r="D1122" s="3" t="s">
        <v>697</v>
      </c>
      <c r="E1122" s="14" t="s">
        <v>29</v>
      </c>
      <c r="F1122" s="3"/>
      <c r="G1122" s="36" t="s">
        <v>405</v>
      </c>
      <c r="H1122" s="36"/>
      <c r="I1122" s="36"/>
      <c r="J1122" s="36"/>
      <c r="K1122" s="31" t="s">
        <v>698</v>
      </c>
      <c r="L1122" s="7" t="s">
        <v>699</v>
      </c>
    </row>
    <row r="1123" spans="1:14">
      <c r="A1123">
        <v>11</v>
      </c>
      <c r="B1123" s="16" t="s">
        <v>701</v>
      </c>
      <c r="C1123" s="2"/>
      <c r="D1123" s="3" t="s">
        <v>702</v>
      </c>
      <c r="E1123" s="14" t="s">
        <v>36</v>
      </c>
      <c r="F1123" s="3"/>
      <c r="G1123" s="36"/>
      <c r="H1123" s="36" t="s">
        <v>405</v>
      </c>
      <c r="I1123" s="36"/>
      <c r="J1123" s="36"/>
      <c r="K1123" s="31"/>
      <c r="L1123" s="7" t="s">
        <v>703</v>
      </c>
    </row>
    <row r="1124" spans="1:14">
      <c r="A1124">
        <v>12</v>
      </c>
      <c r="B1124" s="16" t="s">
        <v>57</v>
      </c>
      <c r="C1124" s="2"/>
      <c r="D1124" s="3" t="s">
        <v>56</v>
      </c>
      <c r="E1124" s="14" t="s">
        <v>42</v>
      </c>
      <c r="F1124" s="3"/>
      <c r="G1124" s="36"/>
      <c r="H1124" s="36" t="s">
        <v>405</v>
      </c>
      <c r="I1124" s="36"/>
      <c r="J1124" s="36" t="b">
        <v>1</v>
      </c>
      <c r="K1124" s="31"/>
      <c r="L1124" s="7" t="s">
        <v>704</v>
      </c>
    </row>
    <row r="1125" spans="1:14">
      <c r="A1125">
        <v>13</v>
      </c>
      <c r="B1125" s="16" t="s">
        <v>34</v>
      </c>
      <c r="C1125" s="2"/>
      <c r="D1125" s="3" t="s">
        <v>35</v>
      </c>
      <c r="E1125" s="14" t="s">
        <v>36</v>
      </c>
      <c r="F1125" s="36"/>
      <c r="G1125" s="36"/>
      <c r="H1125" s="36" t="s">
        <v>405</v>
      </c>
      <c r="I1125" s="36"/>
      <c r="J1125" s="30" t="s">
        <v>37</v>
      </c>
      <c r="K1125" s="3"/>
      <c r="L1125" s="7"/>
    </row>
    <row r="1126" spans="1:14" ht="19.5" thickBot="1">
      <c r="A1126">
        <v>14</v>
      </c>
      <c r="B1126" s="17" t="s">
        <v>38</v>
      </c>
      <c r="C1126" s="18"/>
      <c r="D1126" s="8" t="s">
        <v>39</v>
      </c>
      <c r="E1126" s="15" t="s">
        <v>36</v>
      </c>
      <c r="F1126" s="37"/>
      <c r="G1126" s="37"/>
      <c r="H1126" s="37" t="s">
        <v>405</v>
      </c>
      <c r="I1126" s="37"/>
      <c r="J1126" s="38" t="s">
        <v>37</v>
      </c>
      <c r="K1126" s="8"/>
      <c r="L1126" s="9" t="s">
        <v>50</v>
      </c>
    </row>
    <row r="1127" spans="1:14" ht="19.5" thickTop="1">
      <c r="J1127" s="43"/>
    </row>
    <row r="1128" spans="1:14">
      <c r="B1128" t="str">
        <f>HYPERLINK("#'テーブル設計'!B2","テーブル一覧")</f>
        <v>テーブル一覧</v>
      </c>
    </row>
    <row r="1129" spans="1:14" ht="19.5" thickBot="1"/>
    <row r="1130" spans="1:14" ht="19.5" thickTop="1">
      <c r="B1130" s="19" t="s">
        <v>21</v>
      </c>
      <c r="C1130" s="4"/>
      <c r="D1130" s="5" t="s">
        <v>289</v>
      </c>
      <c r="E1130" s="6"/>
      <c r="F1130" s="24" t="s">
        <v>622</v>
      </c>
      <c r="M1130" t="str">
        <f>+D1130</f>
        <v>human_reviews</v>
      </c>
      <c r="N1130">
        <v>1132</v>
      </c>
    </row>
    <row r="1131" spans="1:14" ht="19.5" thickBot="1">
      <c r="B1131" s="17" t="s">
        <v>22</v>
      </c>
      <c r="C1131" s="15"/>
      <c r="D1131" s="21" t="s">
        <v>375</v>
      </c>
      <c r="E1131" s="20"/>
    </row>
    <row r="1132" spans="1:14" ht="19.5" thickTop="1"/>
    <row r="1133" spans="1:14">
      <c r="B1133" s="1" t="s">
        <v>23</v>
      </c>
      <c r="C1133" s="14"/>
    </row>
    <row r="1134" spans="1:14">
      <c r="C1134" t="s">
        <v>739</v>
      </c>
    </row>
    <row r="1138" spans="2:4">
      <c r="B1138" s="1" t="s">
        <v>24</v>
      </c>
      <c r="C1138" s="14"/>
    </row>
    <row r="1139" spans="2:4">
      <c r="C1139" t="s">
        <v>25</v>
      </c>
    </row>
    <row r="1141" spans="2:4">
      <c r="B1141" s="1" t="s">
        <v>26</v>
      </c>
      <c r="C1141" s="14"/>
    </row>
    <row r="1142" spans="2:4">
      <c r="C1142" s="10"/>
    </row>
    <row r="1147" spans="2:4">
      <c r="B1147" s="1" t="s">
        <v>49</v>
      </c>
      <c r="C1147" s="14"/>
    </row>
    <row r="1148" spans="2:4">
      <c r="C1148" s="24" t="s">
        <v>735</v>
      </c>
    </row>
    <row r="1149" spans="2:4">
      <c r="D1149" t="s">
        <v>736</v>
      </c>
    </row>
    <row r="1150" spans="2:4">
      <c r="D1150" t="s">
        <v>737</v>
      </c>
    </row>
    <row r="1151" spans="2:4">
      <c r="C1151" t="s">
        <v>738</v>
      </c>
    </row>
    <row r="1152" spans="2:4">
      <c r="C1152" t="s">
        <v>742</v>
      </c>
    </row>
    <row r="1153" spans="1:17">
      <c r="C1153" t="s">
        <v>743</v>
      </c>
    </row>
    <row r="1155" spans="1:17" ht="19.5" thickBot="1"/>
    <row r="1156" spans="1:17" ht="19.5" thickTop="1">
      <c r="B1156" s="90" t="s">
        <v>2</v>
      </c>
      <c r="C1156" s="91"/>
      <c r="D1156" s="11" t="s">
        <v>3</v>
      </c>
      <c r="E1156" s="13" t="s">
        <v>4</v>
      </c>
      <c r="F1156" s="35" t="s">
        <v>5</v>
      </c>
      <c r="G1156" s="35" t="s">
        <v>7</v>
      </c>
      <c r="H1156" s="35" t="s">
        <v>27</v>
      </c>
      <c r="I1156" s="35" t="s">
        <v>47</v>
      </c>
      <c r="J1156" s="11" t="s">
        <v>14</v>
      </c>
      <c r="K1156" s="11" t="s">
        <v>15</v>
      </c>
      <c r="L1156" s="12" t="s">
        <v>17</v>
      </c>
      <c r="P1156" s="29"/>
      <c r="Q1156" s="28"/>
    </row>
    <row r="1157" spans="1:17">
      <c r="A1157">
        <v>1</v>
      </c>
      <c r="B1157" s="16" t="s">
        <v>25</v>
      </c>
      <c r="C1157" s="2"/>
      <c r="D1157" s="3" t="s">
        <v>384</v>
      </c>
      <c r="E1157" s="14" t="s">
        <v>29</v>
      </c>
      <c r="F1157" s="3" t="s">
        <v>405</v>
      </c>
      <c r="G1157" s="36"/>
      <c r="H1157" s="36" t="s">
        <v>405</v>
      </c>
      <c r="I1157" s="36"/>
      <c r="J1157" s="36"/>
      <c r="K1157" s="31"/>
      <c r="L1157" s="7"/>
    </row>
    <row r="1158" spans="1:17">
      <c r="A1158">
        <v>2</v>
      </c>
      <c r="B1158" s="16" t="s">
        <v>119</v>
      </c>
      <c r="C1158" s="2"/>
      <c r="D1158" s="3" t="s">
        <v>100</v>
      </c>
      <c r="E1158" s="14" t="s">
        <v>29</v>
      </c>
      <c r="F1158" s="3"/>
      <c r="G1158" s="64" t="s">
        <v>405</v>
      </c>
      <c r="H1158" s="64" t="s">
        <v>405</v>
      </c>
      <c r="I1158" s="36"/>
      <c r="J1158" s="36"/>
      <c r="K1158" s="31" t="s">
        <v>378</v>
      </c>
      <c r="L1158" s="66" t="s">
        <v>711</v>
      </c>
    </row>
    <row r="1159" spans="1:17">
      <c r="A1159">
        <v>3</v>
      </c>
      <c r="B1159" s="16" t="s">
        <v>342</v>
      </c>
      <c r="C1159" s="2"/>
      <c r="D1159" s="25" t="s">
        <v>367</v>
      </c>
      <c r="E1159" s="14" t="s">
        <v>29</v>
      </c>
      <c r="F1159" s="3"/>
      <c r="G1159" s="64" t="s">
        <v>405</v>
      </c>
      <c r="H1159" s="64" t="s">
        <v>405</v>
      </c>
      <c r="I1159" s="36"/>
      <c r="J1159" s="36"/>
      <c r="K1159" s="31" t="s">
        <v>382</v>
      </c>
      <c r="L1159" s="66" t="s">
        <v>712</v>
      </c>
    </row>
    <row r="1160" spans="1:17">
      <c r="A1160">
        <v>4</v>
      </c>
      <c r="B1160" s="16" t="s">
        <v>710</v>
      </c>
      <c r="C1160" s="2"/>
      <c r="D1160" s="25" t="s">
        <v>648</v>
      </c>
      <c r="E1160" s="3" t="s">
        <v>29</v>
      </c>
      <c r="F1160" s="3"/>
      <c r="G1160" s="64" t="s">
        <v>405</v>
      </c>
      <c r="H1160" s="36"/>
      <c r="I1160" s="36"/>
      <c r="J1160" s="36"/>
      <c r="K1160" s="31" t="s">
        <v>677</v>
      </c>
      <c r="L1160" s="66" t="s">
        <v>713</v>
      </c>
    </row>
    <row r="1161" spans="1:17">
      <c r="A1161">
        <v>5</v>
      </c>
      <c r="B1161" s="16" t="s">
        <v>714</v>
      </c>
      <c r="C1161" s="2"/>
      <c r="D1161" s="25" t="s">
        <v>715</v>
      </c>
      <c r="E1161" s="3" t="s">
        <v>29</v>
      </c>
      <c r="F1161" s="3"/>
      <c r="G1161" s="64" t="s">
        <v>405</v>
      </c>
      <c r="H1161" s="36"/>
      <c r="I1161" s="36"/>
      <c r="J1161" s="36"/>
      <c r="K1161" s="31" t="s">
        <v>698</v>
      </c>
      <c r="L1161" s="66" t="s">
        <v>716</v>
      </c>
    </row>
    <row r="1162" spans="1:17">
      <c r="A1162">
        <v>6</v>
      </c>
      <c r="B1162" s="16" t="s">
        <v>360</v>
      </c>
      <c r="C1162" s="2"/>
      <c r="D1162" s="25" t="s">
        <v>373</v>
      </c>
      <c r="E1162" s="3" t="s">
        <v>654</v>
      </c>
      <c r="F1162" s="3"/>
      <c r="G1162" s="64"/>
      <c r="H1162" s="36" t="s">
        <v>405</v>
      </c>
      <c r="I1162" s="36"/>
      <c r="J1162" s="36"/>
      <c r="K1162" s="31"/>
      <c r="L1162" s="66" t="s">
        <v>717</v>
      </c>
    </row>
    <row r="1163" spans="1:17">
      <c r="A1163">
        <v>7</v>
      </c>
      <c r="B1163" s="16" t="s">
        <v>334</v>
      </c>
      <c r="C1163" s="2"/>
      <c r="D1163" s="25" t="s">
        <v>335</v>
      </c>
      <c r="E1163" s="3" t="s">
        <v>673</v>
      </c>
      <c r="F1163" s="3"/>
      <c r="G1163" s="64"/>
      <c r="H1163" s="36" t="s">
        <v>405</v>
      </c>
      <c r="I1163" s="36"/>
      <c r="J1163" s="36"/>
      <c r="K1163" s="31"/>
      <c r="L1163" s="66" t="s">
        <v>718</v>
      </c>
    </row>
    <row r="1164" spans="1:17">
      <c r="A1164">
        <v>8</v>
      </c>
      <c r="B1164" s="16" t="s">
        <v>358</v>
      </c>
      <c r="C1164" s="2"/>
      <c r="D1164" s="3" t="s">
        <v>719</v>
      </c>
      <c r="E1164" s="3" t="s">
        <v>31</v>
      </c>
      <c r="F1164" s="3"/>
      <c r="G1164" s="64"/>
      <c r="H1164" s="36"/>
      <c r="I1164" s="64"/>
      <c r="J1164" s="36"/>
      <c r="K1164" s="31"/>
      <c r="L1164" s="66" t="s">
        <v>720</v>
      </c>
    </row>
    <row r="1165" spans="1:17">
      <c r="A1165">
        <v>9</v>
      </c>
      <c r="B1165" s="16" t="s">
        <v>359</v>
      </c>
      <c r="C1165" s="2"/>
      <c r="D1165" s="3" t="s">
        <v>721</v>
      </c>
      <c r="E1165" s="3" t="s">
        <v>31</v>
      </c>
      <c r="F1165" s="3"/>
      <c r="G1165" s="64"/>
      <c r="H1165" s="36"/>
      <c r="I1165" s="64"/>
      <c r="J1165" s="36"/>
      <c r="K1165" s="31"/>
      <c r="L1165" s="80" t="s">
        <v>722</v>
      </c>
    </row>
    <row r="1166" spans="1:17">
      <c r="A1166">
        <v>10</v>
      </c>
      <c r="B1166" s="16" t="s">
        <v>723</v>
      </c>
      <c r="C1166" s="2"/>
      <c r="D1166" s="41" t="s">
        <v>724</v>
      </c>
      <c r="E1166" s="3" t="s">
        <v>31</v>
      </c>
      <c r="F1166" s="3"/>
      <c r="G1166" s="64"/>
      <c r="H1166" s="36"/>
      <c r="I1166" s="64"/>
      <c r="J1166" s="36"/>
      <c r="K1166" s="31"/>
      <c r="L1166" s="66" t="s">
        <v>725</v>
      </c>
    </row>
    <row r="1167" spans="1:17">
      <c r="A1167">
        <v>11</v>
      </c>
      <c r="B1167" s="16" t="s">
        <v>726</v>
      </c>
      <c r="C1167" s="2"/>
      <c r="D1167" s="41" t="s">
        <v>727</v>
      </c>
      <c r="E1167" s="3" t="s">
        <v>31</v>
      </c>
      <c r="F1167" s="3"/>
      <c r="G1167" s="64"/>
      <c r="H1167" s="36"/>
      <c r="I1167" s="64"/>
      <c r="J1167" s="36"/>
      <c r="K1167" s="31"/>
      <c r="L1167" s="66" t="s">
        <v>728</v>
      </c>
    </row>
    <row r="1168" spans="1:17">
      <c r="A1168">
        <v>12</v>
      </c>
      <c r="B1168" s="16" t="s">
        <v>729</v>
      </c>
      <c r="C1168" s="2"/>
      <c r="D1168" s="3" t="s">
        <v>730</v>
      </c>
      <c r="E1168" s="3" t="s">
        <v>740</v>
      </c>
      <c r="F1168" s="3"/>
      <c r="G1168" s="36"/>
      <c r="H1168" s="36"/>
      <c r="I1168" s="36"/>
      <c r="J1168" s="36"/>
      <c r="K1168" s="31"/>
      <c r="L1168" s="80" t="s">
        <v>741</v>
      </c>
    </row>
    <row r="1169" spans="1:14">
      <c r="A1169">
        <v>13</v>
      </c>
      <c r="B1169" s="16" t="s">
        <v>336</v>
      </c>
      <c r="C1169" s="2"/>
      <c r="D1169" s="3" t="s">
        <v>337</v>
      </c>
      <c r="E1169" s="3" t="s">
        <v>36</v>
      </c>
      <c r="F1169" s="3"/>
      <c r="G1169" s="36"/>
      <c r="H1169" s="36"/>
      <c r="I1169" s="36"/>
      <c r="J1169" s="36"/>
      <c r="K1169" s="31"/>
      <c r="L1169" s="66" t="s">
        <v>731</v>
      </c>
    </row>
    <row r="1170" spans="1:14">
      <c r="A1170">
        <v>14</v>
      </c>
      <c r="B1170" s="16" t="s">
        <v>732</v>
      </c>
      <c r="C1170" s="2"/>
      <c r="D1170" s="3" t="s">
        <v>733</v>
      </c>
      <c r="E1170" s="3" t="s">
        <v>29</v>
      </c>
      <c r="F1170" s="3"/>
      <c r="G1170" s="36" t="s">
        <v>405</v>
      </c>
      <c r="H1170" s="36"/>
      <c r="I1170" s="36"/>
      <c r="J1170" s="36"/>
      <c r="K1170" s="31" t="s">
        <v>700</v>
      </c>
      <c r="L1170" s="66" t="s">
        <v>734</v>
      </c>
    </row>
    <row r="1171" spans="1:14">
      <c r="A1171">
        <v>15</v>
      </c>
      <c r="B1171" s="73" t="s">
        <v>57</v>
      </c>
      <c r="C1171" s="10"/>
      <c r="D1171" s="74" t="s">
        <v>56</v>
      </c>
      <c r="E1171" s="3" t="s">
        <v>42</v>
      </c>
      <c r="F1171" s="69"/>
      <c r="G1171" s="70"/>
      <c r="H1171" s="70" t="s">
        <v>405</v>
      </c>
      <c r="I1171" s="70"/>
      <c r="J1171" s="70" t="b">
        <v>1</v>
      </c>
      <c r="K1171" s="71"/>
      <c r="L1171" s="72"/>
    </row>
    <row r="1172" spans="1:14">
      <c r="A1172">
        <v>16</v>
      </c>
      <c r="B1172" s="68" t="s">
        <v>34</v>
      </c>
      <c r="C1172" s="10"/>
      <c r="D1172" s="69" t="s">
        <v>35</v>
      </c>
      <c r="E1172" s="69" t="s">
        <v>36</v>
      </c>
      <c r="F1172" s="69"/>
      <c r="G1172" s="70"/>
      <c r="H1172" s="70" t="s">
        <v>405</v>
      </c>
      <c r="I1172" s="70"/>
      <c r="J1172" s="70"/>
      <c r="K1172" s="71"/>
      <c r="L1172" s="72"/>
    </row>
    <row r="1173" spans="1:14" ht="19.5" thickBot="1">
      <c r="A1173">
        <v>17</v>
      </c>
      <c r="B1173" s="17" t="s">
        <v>38</v>
      </c>
      <c r="C1173" s="18"/>
      <c r="D1173" s="8" t="s">
        <v>39</v>
      </c>
      <c r="E1173" s="15" t="s">
        <v>36</v>
      </c>
      <c r="F1173" s="8"/>
      <c r="G1173" s="37"/>
      <c r="H1173" s="37" t="s">
        <v>405</v>
      </c>
      <c r="I1173" s="37"/>
      <c r="J1173" s="37"/>
      <c r="K1173" s="38"/>
      <c r="L1173" s="20"/>
    </row>
    <row r="1174" spans="1:14" ht="19.5" thickTop="1">
      <c r="F1174"/>
      <c r="J1174" s="33"/>
      <c r="K1174" s="43"/>
    </row>
    <row r="1175" spans="1:14">
      <c r="B1175" t="str">
        <f>HYPERLINK("#'テーブル設計'!B2","テーブル一覧")</f>
        <v>テーブル一覧</v>
      </c>
    </row>
    <row r="1176" spans="1:14" ht="19.5" thickBot="1"/>
    <row r="1177" spans="1:14" ht="19.5" thickTop="1">
      <c r="B1177" s="19" t="s">
        <v>21</v>
      </c>
      <c r="C1177" s="4"/>
      <c r="D1177" s="5" t="s">
        <v>311</v>
      </c>
      <c r="E1177" s="6"/>
      <c r="F1177" t="s">
        <v>310</v>
      </c>
      <c r="M1177" t="str">
        <f>+D1177</f>
        <v>element_quantity_results</v>
      </c>
      <c r="N1177">
        <v>1176</v>
      </c>
    </row>
    <row r="1178" spans="1:14" ht="19.5" thickBot="1">
      <c r="B1178" s="17" t="s">
        <v>22</v>
      </c>
      <c r="C1178" s="15"/>
      <c r="D1178" s="21" t="s">
        <v>312</v>
      </c>
      <c r="E1178" s="20"/>
      <c r="F1178"/>
    </row>
    <row r="1179" spans="1:14" ht="19.5" thickTop="1"/>
    <row r="1180" spans="1:14">
      <c r="B1180" s="1" t="s">
        <v>23</v>
      </c>
      <c r="C1180" s="14"/>
    </row>
    <row r="1185" spans="2:3">
      <c r="B1185" s="1" t="s">
        <v>24</v>
      </c>
      <c r="C1185" s="14"/>
    </row>
    <row r="1186" spans="2:3">
      <c r="C1186" t="s">
        <v>25</v>
      </c>
    </row>
    <row r="1188" spans="2:3">
      <c r="B1188" s="1" t="s">
        <v>26</v>
      </c>
      <c r="C1188" s="14"/>
    </row>
    <row r="1189" spans="2:3">
      <c r="C1189" s="10"/>
    </row>
    <row r="1194" spans="2:3">
      <c r="B1194" s="1" t="s">
        <v>49</v>
      </c>
      <c r="C1194" s="14"/>
    </row>
    <row r="1195" spans="2:3">
      <c r="C1195" s="24" t="s">
        <v>65</v>
      </c>
    </row>
    <row r="1203" spans="1:17" ht="19.5" thickBot="1"/>
    <row r="1204" spans="1:17" ht="19.5" thickTop="1">
      <c r="B1204" s="90" t="s">
        <v>2</v>
      </c>
      <c r="C1204" s="91"/>
      <c r="D1204" s="11" t="s">
        <v>3</v>
      </c>
      <c r="E1204" s="13" t="s">
        <v>4</v>
      </c>
      <c r="F1204" s="35" t="s">
        <v>5</v>
      </c>
      <c r="G1204" s="35" t="s">
        <v>7</v>
      </c>
      <c r="H1204" s="35" t="s">
        <v>27</v>
      </c>
      <c r="I1204" s="35" t="s">
        <v>47</v>
      </c>
      <c r="J1204" s="11" t="s">
        <v>14</v>
      </c>
      <c r="K1204" s="11" t="s">
        <v>15</v>
      </c>
      <c r="L1204" s="12" t="s">
        <v>17</v>
      </c>
      <c r="P1204" s="29"/>
      <c r="Q1204" s="28"/>
    </row>
    <row r="1205" spans="1:17">
      <c r="A1205">
        <v>1</v>
      </c>
      <c r="B1205" s="16" t="s">
        <v>25</v>
      </c>
      <c r="C1205" s="2"/>
      <c r="D1205" s="3" t="s">
        <v>28</v>
      </c>
      <c r="E1205" s="14" t="s">
        <v>29</v>
      </c>
      <c r="F1205" s="3" t="s">
        <v>30</v>
      </c>
      <c r="G1205" s="36"/>
      <c r="H1205" s="36"/>
      <c r="I1205" s="36"/>
      <c r="J1205" s="36"/>
      <c r="K1205" s="31"/>
      <c r="L1205" s="7" t="s">
        <v>219</v>
      </c>
    </row>
    <row r="1206" spans="1:17">
      <c r="A1206">
        <v>2</v>
      </c>
      <c r="B1206" s="16" t="s">
        <v>119</v>
      </c>
      <c r="C1206" s="2"/>
      <c r="D1206" s="3" t="s">
        <v>100</v>
      </c>
      <c r="E1206" s="14" t="s">
        <v>29</v>
      </c>
      <c r="F1206" s="3"/>
      <c r="G1206" s="36"/>
      <c r="H1206" s="36"/>
      <c r="I1206" s="36"/>
      <c r="J1206" s="36"/>
      <c r="K1206" s="31"/>
      <c r="L1206" s="7" t="s">
        <v>623</v>
      </c>
    </row>
    <row r="1207" spans="1:17">
      <c r="A1207">
        <v>3</v>
      </c>
      <c r="B1207" s="16" t="s">
        <v>342</v>
      </c>
      <c r="C1207" s="2"/>
      <c r="D1207" s="3" t="s">
        <v>367</v>
      </c>
      <c r="E1207" s="14" t="s">
        <v>29</v>
      </c>
      <c r="F1207" s="3"/>
      <c r="G1207" s="36"/>
      <c r="H1207" s="36"/>
      <c r="I1207" s="36"/>
      <c r="J1207" s="36"/>
      <c r="K1207" s="31"/>
      <c r="L1207" s="7" t="s">
        <v>624</v>
      </c>
    </row>
    <row r="1208" spans="1:17">
      <c r="A1208">
        <v>4</v>
      </c>
      <c r="B1208" s="16" t="s">
        <v>625</v>
      </c>
      <c r="C1208" s="2"/>
      <c r="D1208" s="3" t="s">
        <v>626</v>
      </c>
      <c r="E1208" s="14" t="s">
        <v>627</v>
      </c>
      <c r="F1208" s="3"/>
      <c r="G1208" s="36"/>
      <c r="H1208" s="36"/>
      <c r="I1208" s="36"/>
      <c r="J1208" s="36"/>
      <c r="K1208" s="31"/>
      <c r="L1208" s="7" t="s">
        <v>628</v>
      </c>
    </row>
    <row r="1209" spans="1:17">
      <c r="A1209">
        <v>5</v>
      </c>
      <c r="B1209" s="16" t="s">
        <v>562</v>
      </c>
      <c r="C1209" s="2"/>
      <c r="D1209" s="3" t="s">
        <v>629</v>
      </c>
      <c r="E1209" s="14" t="s">
        <v>630</v>
      </c>
      <c r="F1209" s="3"/>
      <c r="G1209" s="36"/>
      <c r="H1209" s="36"/>
      <c r="I1209" s="36"/>
      <c r="J1209" s="36"/>
      <c r="K1209" s="31"/>
      <c r="L1209" s="7" t="s">
        <v>631</v>
      </c>
    </row>
    <row r="1210" spans="1:17">
      <c r="A1210">
        <v>6</v>
      </c>
      <c r="B1210" s="16" t="s">
        <v>565</v>
      </c>
      <c r="C1210" s="2"/>
      <c r="D1210" s="3" t="s">
        <v>632</v>
      </c>
      <c r="E1210" s="14" t="s">
        <v>627</v>
      </c>
      <c r="F1210" s="3"/>
      <c r="G1210" s="36"/>
      <c r="H1210" s="36"/>
      <c r="I1210" s="36"/>
      <c r="J1210" s="36"/>
      <c r="K1210" s="31"/>
      <c r="L1210" s="7" t="s">
        <v>633</v>
      </c>
    </row>
    <row r="1211" spans="1:17">
      <c r="A1211">
        <v>7</v>
      </c>
      <c r="B1211" s="16" t="s">
        <v>634</v>
      </c>
      <c r="C1211" s="2"/>
      <c r="D1211" s="3" t="s">
        <v>635</v>
      </c>
      <c r="E1211" s="14" t="s">
        <v>29</v>
      </c>
      <c r="F1211" s="3"/>
      <c r="G1211" s="36" t="s">
        <v>30</v>
      </c>
      <c r="H1211" s="36"/>
      <c r="I1211" s="36"/>
      <c r="J1211" s="36"/>
      <c r="K1211" s="31" t="s">
        <v>636</v>
      </c>
      <c r="L1211" s="7" t="s">
        <v>637</v>
      </c>
    </row>
    <row r="1212" spans="1:17">
      <c r="A1212">
        <v>8</v>
      </c>
      <c r="B1212" s="16" t="s">
        <v>638</v>
      </c>
      <c r="C1212" s="2"/>
      <c r="D1212" s="3" t="s">
        <v>422</v>
      </c>
      <c r="E1212" s="14" t="s">
        <v>29</v>
      </c>
      <c r="F1212" s="3"/>
      <c r="G1212" s="36"/>
      <c r="H1212" s="36"/>
      <c r="I1212" s="36"/>
      <c r="J1212" s="36"/>
      <c r="K1212" s="31"/>
      <c r="L1212" s="7" t="s">
        <v>639</v>
      </c>
    </row>
    <row r="1213" spans="1:17">
      <c r="A1213">
        <v>9</v>
      </c>
      <c r="B1213" s="16" t="s">
        <v>640</v>
      </c>
      <c r="C1213" s="2"/>
      <c r="D1213" s="3" t="s">
        <v>641</v>
      </c>
      <c r="E1213" s="14" t="s">
        <v>627</v>
      </c>
      <c r="F1213" s="3"/>
      <c r="G1213" s="36"/>
      <c r="H1213" s="36"/>
      <c r="I1213" s="36"/>
      <c r="J1213" s="36"/>
      <c r="K1213" s="31"/>
      <c r="L1213" s="7" t="s">
        <v>642</v>
      </c>
    </row>
    <row r="1214" spans="1:17">
      <c r="A1214">
        <v>10</v>
      </c>
      <c r="B1214" s="16" t="s">
        <v>643</v>
      </c>
      <c r="C1214" s="2"/>
      <c r="D1214" s="3" t="s">
        <v>644</v>
      </c>
      <c r="E1214" s="14" t="s">
        <v>31</v>
      </c>
      <c r="F1214" s="3"/>
      <c r="G1214" s="36"/>
      <c r="H1214" s="36"/>
      <c r="I1214" s="36"/>
      <c r="J1214" s="36"/>
      <c r="K1214" s="31"/>
      <c r="L1214" s="7" t="s">
        <v>645</v>
      </c>
    </row>
    <row r="1215" spans="1:17">
      <c r="A1215">
        <v>11</v>
      </c>
      <c r="B1215" s="16" t="s">
        <v>34</v>
      </c>
      <c r="C1215" s="2"/>
      <c r="D1215" s="3" t="s">
        <v>35</v>
      </c>
      <c r="E1215" s="14" t="s">
        <v>36</v>
      </c>
      <c r="F1215" s="36"/>
      <c r="G1215" s="36"/>
      <c r="H1215" s="36"/>
      <c r="I1215" s="36"/>
      <c r="J1215" s="30" t="s">
        <v>37</v>
      </c>
      <c r="K1215" s="3"/>
      <c r="L1215" s="7"/>
    </row>
    <row r="1216" spans="1:17" ht="19.5" thickBot="1">
      <c r="A1216">
        <v>12</v>
      </c>
      <c r="B1216" s="17" t="s">
        <v>38</v>
      </c>
      <c r="C1216" s="18"/>
      <c r="D1216" s="8" t="s">
        <v>39</v>
      </c>
      <c r="E1216" s="15" t="s">
        <v>36</v>
      </c>
      <c r="F1216" s="37"/>
      <c r="G1216" s="37"/>
      <c r="H1216" s="37"/>
      <c r="I1216" s="37"/>
      <c r="J1216" s="38" t="s">
        <v>37</v>
      </c>
      <c r="K1216" s="8"/>
      <c r="L1216" s="9" t="s">
        <v>50</v>
      </c>
    </row>
    <row r="1217" spans="2:14" ht="19.5" thickTop="1">
      <c r="J1217" s="43"/>
    </row>
    <row r="1218" spans="2:14">
      <c r="B1218" t="str">
        <f>HYPERLINK("#'テーブル設計'!B2","テーブル一覧")</f>
        <v>テーブル一覧</v>
      </c>
    </row>
    <row r="1219" spans="2:14" ht="19.5" thickBot="1"/>
    <row r="1220" spans="2:14" ht="19.5" thickTop="1">
      <c r="B1220" s="19" t="s">
        <v>21</v>
      </c>
      <c r="C1220" s="4"/>
      <c r="D1220" s="5" t="s">
        <v>314</v>
      </c>
      <c r="E1220" s="6"/>
      <c r="F1220" t="s">
        <v>313</v>
      </c>
      <c r="M1220" t="str">
        <f>+D1220</f>
        <v>quantity_summaries</v>
      </c>
      <c r="N1220">
        <v>1219</v>
      </c>
    </row>
    <row r="1221" spans="2:14" ht="19.5" thickBot="1">
      <c r="B1221" s="17" t="s">
        <v>22</v>
      </c>
      <c r="C1221" s="15"/>
      <c r="D1221" s="21" t="s">
        <v>315</v>
      </c>
      <c r="E1221" s="20"/>
    </row>
    <row r="1222" spans="2:14" ht="19.5" thickTop="1"/>
    <row r="1223" spans="2:14">
      <c r="B1223" s="1" t="s">
        <v>23</v>
      </c>
      <c r="C1223" s="14"/>
    </row>
    <row r="1228" spans="2:14">
      <c r="B1228" s="1" t="s">
        <v>24</v>
      </c>
      <c r="C1228" s="14"/>
    </row>
    <row r="1229" spans="2:14">
      <c r="C1229" t="s">
        <v>25</v>
      </c>
    </row>
    <row r="1231" spans="2:14">
      <c r="B1231" s="1" t="s">
        <v>26</v>
      </c>
      <c r="C1231" s="14"/>
    </row>
    <row r="1232" spans="2:14">
      <c r="C1232" s="10"/>
    </row>
    <row r="1237" spans="1:17">
      <c r="B1237" s="1" t="s">
        <v>49</v>
      </c>
      <c r="C1237" s="14"/>
    </row>
    <row r="1238" spans="1:17">
      <c r="C1238" s="24" t="s">
        <v>65</v>
      </c>
    </row>
    <row r="1246" spans="1:17" ht="19.5" thickBot="1"/>
    <row r="1247" spans="1:17" ht="19.5" thickTop="1">
      <c r="B1247" s="90" t="s">
        <v>2</v>
      </c>
      <c r="C1247" s="91"/>
      <c r="D1247" s="11" t="s">
        <v>3</v>
      </c>
      <c r="E1247" s="13" t="s">
        <v>4</v>
      </c>
      <c r="F1247" s="35" t="s">
        <v>5</v>
      </c>
      <c r="G1247" s="35" t="s">
        <v>7</v>
      </c>
      <c r="H1247" s="35" t="s">
        <v>27</v>
      </c>
      <c r="I1247" s="35" t="s">
        <v>47</v>
      </c>
      <c r="J1247" s="11" t="s">
        <v>14</v>
      </c>
      <c r="K1247" s="11" t="s">
        <v>15</v>
      </c>
      <c r="L1247" s="12" t="s">
        <v>17</v>
      </c>
      <c r="P1247" s="29"/>
      <c r="Q1247" s="28"/>
    </row>
    <row r="1248" spans="1:17">
      <c r="A1248">
        <v>1</v>
      </c>
      <c r="B1248" s="16" t="s">
        <v>25</v>
      </c>
      <c r="C1248" s="2"/>
      <c r="D1248" s="3" t="s">
        <v>28</v>
      </c>
      <c r="E1248" s="14" t="s">
        <v>29</v>
      </c>
      <c r="F1248" s="3" t="s">
        <v>30</v>
      </c>
      <c r="G1248" s="36"/>
      <c r="H1248" s="36" t="s">
        <v>30</v>
      </c>
      <c r="I1248" s="36" t="s">
        <v>30</v>
      </c>
      <c r="J1248" s="36"/>
      <c r="K1248" s="31"/>
      <c r="L1248" s="7" t="s">
        <v>219</v>
      </c>
    </row>
    <row r="1249" spans="1:12">
      <c r="A1249">
        <v>2</v>
      </c>
      <c r="B1249" s="16"/>
      <c r="C1249" s="2"/>
      <c r="D1249" s="3"/>
      <c r="E1249" s="14"/>
      <c r="F1249" s="3"/>
      <c r="G1249" s="36"/>
      <c r="H1249" s="36"/>
      <c r="I1249" s="36"/>
      <c r="J1249" s="36"/>
      <c r="K1249" s="31"/>
      <c r="L1249" s="7"/>
    </row>
    <row r="1250" spans="1:12">
      <c r="A1250">
        <v>3</v>
      </c>
      <c r="B1250" s="16"/>
      <c r="C1250" s="2"/>
      <c r="D1250" s="3"/>
      <c r="E1250" s="14"/>
      <c r="F1250" s="3"/>
      <c r="G1250" s="36"/>
      <c r="H1250" s="36"/>
      <c r="I1250" s="36"/>
      <c r="J1250" s="36"/>
      <c r="K1250" s="31"/>
      <c r="L1250" s="7"/>
    </row>
    <row r="1251" spans="1:12">
      <c r="A1251">
        <v>4</v>
      </c>
      <c r="B1251" s="16"/>
      <c r="C1251" s="2"/>
      <c r="D1251" s="3"/>
      <c r="E1251" s="14"/>
      <c r="F1251" s="3"/>
      <c r="G1251" s="36"/>
      <c r="H1251" s="36"/>
      <c r="I1251" s="36"/>
      <c r="J1251" s="36"/>
      <c r="K1251" s="31"/>
      <c r="L1251" s="7"/>
    </row>
    <row r="1252" spans="1:12">
      <c r="A1252">
        <v>5</v>
      </c>
      <c r="B1252" s="16"/>
      <c r="C1252" s="2"/>
      <c r="D1252" s="3"/>
      <c r="E1252" s="14"/>
      <c r="F1252" s="3"/>
      <c r="G1252" s="36"/>
      <c r="H1252" s="36"/>
      <c r="I1252" s="36"/>
      <c r="J1252" s="36"/>
      <c r="K1252" s="31"/>
      <c r="L1252" s="7"/>
    </row>
    <row r="1253" spans="1:12">
      <c r="A1253">
        <v>6</v>
      </c>
      <c r="B1253" s="16"/>
      <c r="C1253" s="2"/>
      <c r="D1253" s="3"/>
      <c r="E1253" s="14"/>
      <c r="F1253" s="3"/>
      <c r="G1253" s="36"/>
      <c r="H1253" s="36"/>
      <c r="I1253" s="36"/>
      <c r="J1253" s="36"/>
      <c r="K1253" s="31"/>
      <c r="L1253" s="7"/>
    </row>
    <row r="1254" spans="1:12">
      <c r="A1254">
        <v>7</v>
      </c>
      <c r="B1254" s="16"/>
      <c r="C1254" s="2"/>
      <c r="D1254" s="3"/>
      <c r="E1254" s="14"/>
      <c r="F1254" s="3"/>
      <c r="G1254" s="36"/>
      <c r="H1254" s="36"/>
      <c r="I1254" s="36"/>
      <c r="J1254" s="36"/>
      <c r="K1254" s="31"/>
      <c r="L1254" s="7"/>
    </row>
    <row r="1255" spans="1:12">
      <c r="A1255">
        <v>8</v>
      </c>
      <c r="B1255" s="16"/>
      <c r="C1255" s="2"/>
      <c r="D1255" s="3"/>
      <c r="E1255" s="14"/>
      <c r="F1255" s="3"/>
      <c r="G1255" s="36"/>
      <c r="H1255" s="36"/>
      <c r="I1255" s="36"/>
      <c r="J1255" s="36"/>
      <c r="K1255" s="31"/>
      <c r="L1255" s="7"/>
    </row>
    <row r="1256" spans="1:12">
      <c r="A1256">
        <v>9</v>
      </c>
      <c r="B1256" s="16"/>
      <c r="C1256" s="2"/>
      <c r="D1256" s="3"/>
      <c r="E1256" s="14"/>
      <c r="F1256" s="3"/>
      <c r="G1256" s="36"/>
      <c r="H1256" s="36"/>
      <c r="I1256" s="36"/>
      <c r="J1256" s="36"/>
      <c r="K1256" s="31"/>
      <c r="L1256" s="7"/>
    </row>
    <row r="1257" spans="1:12">
      <c r="A1257">
        <v>10</v>
      </c>
      <c r="B1257" s="16"/>
      <c r="C1257" s="2"/>
      <c r="D1257" s="3"/>
      <c r="E1257" s="14"/>
      <c r="F1257" s="3"/>
      <c r="G1257" s="36"/>
      <c r="H1257" s="36"/>
      <c r="I1257" s="36"/>
      <c r="J1257" s="36"/>
      <c r="K1257" s="31"/>
      <c r="L1257" s="7"/>
    </row>
    <row r="1258" spans="1:12">
      <c r="A1258">
        <v>11</v>
      </c>
      <c r="B1258" s="16"/>
      <c r="C1258" s="2"/>
      <c r="D1258" s="3"/>
      <c r="E1258" s="14"/>
      <c r="F1258" s="3"/>
      <c r="G1258" s="36"/>
      <c r="H1258" s="36"/>
      <c r="I1258" s="36"/>
      <c r="J1258" s="36"/>
      <c r="K1258" s="31"/>
      <c r="L1258" s="7"/>
    </row>
    <row r="1259" spans="1:12">
      <c r="A1259">
        <v>12</v>
      </c>
      <c r="B1259" s="16"/>
      <c r="C1259" s="2"/>
      <c r="D1259" s="3"/>
      <c r="E1259" s="14"/>
      <c r="F1259" s="3"/>
      <c r="G1259" s="36"/>
      <c r="H1259" s="36"/>
      <c r="I1259" s="36"/>
      <c r="J1259" s="36"/>
      <c r="K1259" s="31"/>
      <c r="L1259" s="7"/>
    </row>
    <row r="1260" spans="1:12">
      <c r="A1260">
        <v>13</v>
      </c>
      <c r="B1260" s="16"/>
      <c r="C1260" s="2"/>
      <c r="D1260" s="3"/>
      <c r="E1260" s="14"/>
      <c r="F1260" s="3"/>
      <c r="G1260" s="36"/>
      <c r="H1260" s="36"/>
      <c r="I1260" s="36"/>
      <c r="J1260" s="36"/>
      <c r="K1260" s="31"/>
      <c r="L1260" s="7"/>
    </row>
    <row r="1261" spans="1:12">
      <c r="A1261">
        <v>14</v>
      </c>
      <c r="B1261" s="16"/>
      <c r="C1261" s="2"/>
      <c r="D1261" s="3"/>
      <c r="E1261" s="14"/>
      <c r="F1261" s="3"/>
      <c r="G1261" s="36"/>
      <c r="H1261" s="36"/>
      <c r="I1261" s="36"/>
      <c r="J1261" s="36"/>
      <c r="K1261" s="31"/>
      <c r="L1261" s="7"/>
    </row>
    <row r="1262" spans="1:12">
      <c r="A1262">
        <v>15</v>
      </c>
      <c r="B1262" s="16"/>
      <c r="C1262" s="2"/>
      <c r="D1262" s="3"/>
      <c r="E1262" s="14"/>
      <c r="F1262" s="3"/>
      <c r="G1262" s="36"/>
      <c r="H1262" s="36"/>
      <c r="I1262" s="36"/>
      <c r="J1262" s="36"/>
      <c r="K1262" s="31"/>
      <c r="L1262" s="7"/>
    </row>
    <row r="1263" spans="1:12">
      <c r="A1263">
        <v>16</v>
      </c>
      <c r="B1263" s="16"/>
      <c r="C1263" s="2"/>
      <c r="D1263" s="3"/>
      <c r="E1263" s="14"/>
      <c r="F1263" s="3"/>
      <c r="G1263" s="36"/>
      <c r="H1263" s="36"/>
      <c r="I1263" s="36"/>
      <c r="J1263" s="36"/>
      <c r="K1263" s="31"/>
      <c r="L1263" s="7"/>
    </row>
    <row r="1264" spans="1:12">
      <c r="A1264">
        <v>17</v>
      </c>
      <c r="B1264" s="16"/>
      <c r="C1264" s="2"/>
      <c r="D1264" s="3"/>
      <c r="E1264" s="14"/>
      <c r="F1264" s="3"/>
      <c r="G1264" s="36"/>
      <c r="H1264" s="36"/>
      <c r="I1264" s="36"/>
      <c r="J1264" s="36"/>
      <c r="K1264" s="31"/>
      <c r="L1264" s="7"/>
    </row>
    <row r="1265" spans="1:14">
      <c r="A1265">
        <v>18</v>
      </c>
      <c r="B1265" s="16"/>
      <c r="C1265" s="2"/>
      <c r="D1265" s="3"/>
      <c r="E1265" s="14"/>
      <c r="F1265" s="3"/>
      <c r="G1265" s="36"/>
      <c r="H1265" s="36"/>
      <c r="I1265" s="36"/>
      <c r="J1265" s="36"/>
      <c r="K1265" s="31"/>
      <c r="L1265" s="7"/>
    </row>
    <row r="1266" spans="1:14">
      <c r="A1266">
        <v>19</v>
      </c>
      <c r="B1266" s="16"/>
      <c r="C1266" s="2"/>
      <c r="D1266" s="3"/>
      <c r="E1266" s="14"/>
      <c r="F1266" s="3"/>
      <c r="G1266" s="36"/>
      <c r="H1266" s="36"/>
      <c r="I1266" s="36"/>
      <c r="J1266" s="36"/>
      <c r="K1266" s="31"/>
      <c r="L1266" s="7"/>
    </row>
    <row r="1267" spans="1:14">
      <c r="A1267">
        <v>20</v>
      </c>
      <c r="B1267" s="16"/>
      <c r="C1267" s="2"/>
      <c r="D1267" s="3"/>
      <c r="E1267" s="3"/>
      <c r="F1267" s="14"/>
      <c r="G1267" s="3"/>
      <c r="H1267" s="36"/>
      <c r="I1267" s="36"/>
      <c r="J1267" s="36"/>
      <c r="K1267" s="44"/>
      <c r="L1267" s="31"/>
    </row>
    <row r="1268" spans="1:14">
      <c r="A1268">
        <v>21</v>
      </c>
      <c r="B1268" s="16"/>
      <c r="C1268" s="2"/>
      <c r="D1268" s="3"/>
      <c r="E1268" s="3"/>
      <c r="F1268" s="14"/>
      <c r="G1268" s="3"/>
      <c r="H1268" s="36"/>
      <c r="I1268" s="36"/>
      <c r="J1268" s="36"/>
      <c r="K1268" s="36"/>
      <c r="L1268" s="31"/>
    </row>
    <row r="1269" spans="1:14">
      <c r="A1269">
        <v>22</v>
      </c>
      <c r="B1269" s="16" t="s">
        <v>34</v>
      </c>
      <c r="C1269" s="2"/>
      <c r="D1269" s="3" t="s">
        <v>35</v>
      </c>
      <c r="E1269" s="14" t="s">
        <v>36</v>
      </c>
      <c r="F1269" s="36"/>
      <c r="G1269" s="36"/>
      <c r="H1269" s="36"/>
      <c r="I1269" s="36"/>
      <c r="J1269" s="30" t="s">
        <v>37</v>
      </c>
      <c r="K1269" s="3"/>
      <c r="L1269" s="7"/>
    </row>
    <row r="1270" spans="1:14" ht="19.5" thickBot="1">
      <c r="A1270">
        <v>23</v>
      </c>
      <c r="B1270" s="17" t="s">
        <v>38</v>
      </c>
      <c r="C1270" s="18"/>
      <c r="D1270" s="8" t="s">
        <v>39</v>
      </c>
      <c r="E1270" s="15" t="s">
        <v>36</v>
      </c>
      <c r="F1270" s="37"/>
      <c r="G1270" s="37"/>
      <c r="H1270" s="37"/>
      <c r="I1270" s="37"/>
      <c r="J1270" s="38" t="s">
        <v>37</v>
      </c>
      <c r="K1270" s="8"/>
      <c r="L1270" s="9" t="s">
        <v>50</v>
      </c>
    </row>
    <row r="1271" spans="1:14" ht="19.5" thickTop="1">
      <c r="J1271" s="43"/>
    </row>
    <row r="1272" spans="1:14">
      <c r="B1272" t="str">
        <f>HYPERLINK("#'テーブル設計'!B2","テーブル一覧")</f>
        <v>テーブル一覧</v>
      </c>
    </row>
    <row r="1273" spans="1:14" ht="19.5" thickBot="1"/>
    <row r="1274" spans="1:14" ht="19.5" thickTop="1">
      <c r="B1274" s="19" t="s">
        <v>21</v>
      </c>
      <c r="C1274" s="4"/>
      <c r="D1274" s="5" t="s">
        <v>317</v>
      </c>
      <c r="E1274" s="6"/>
      <c r="F1274" t="s">
        <v>316</v>
      </c>
      <c r="M1274" t="str">
        <f>+D1274</f>
        <v>calculation_evidence</v>
      </c>
      <c r="N1274">
        <v>1273</v>
      </c>
    </row>
    <row r="1275" spans="1:14" ht="19.5" thickBot="1">
      <c r="B1275" s="17" t="s">
        <v>22</v>
      </c>
      <c r="C1275" s="15"/>
      <c r="D1275" s="21" t="s">
        <v>318</v>
      </c>
      <c r="E1275" s="20"/>
    </row>
    <row r="1276" spans="1:14" ht="19.5" thickTop="1"/>
    <row r="1277" spans="1:14">
      <c r="B1277" s="1" t="s">
        <v>23</v>
      </c>
      <c r="C1277" s="14"/>
    </row>
    <row r="1282" spans="2:3">
      <c r="B1282" s="1" t="s">
        <v>24</v>
      </c>
      <c r="C1282" s="14"/>
    </row>
    <row r="1283" spans="2:3">
      <c r="C1283" t="s">
        <v>25</v>
      </c>
    </row>
    <row r="1285" spans="2:3">
      <c r="B1285" s="1" t="s">
        <v>26</v>
      </c>
      <c r="C1285" s="14"/>
    </row>
    <row r="1286" spans="2:3">
      <c r="C1286" s="10"/>
    </row>
    <row r="1291" spans="2:3">
      <c r="B1291" s="1" t="s">
        <v>49</v>
      </c>
      <c r="C1291" s="14"/>
    </row>
    <row r="1292" spans="2:3">
      <c r="C1292" s="24" t="s">
        <v>65</v>
      </c>
    </row>
    <row r="1300" spans="1:17" ht="19.5" thickBot="1"/>
    <row r="1301" spans="1:17" ht="19.5" thickTop="1">
      <c r="B1301" s="90" t="s">
        <v>2</v>
      </c>
      <c r="C1301" s="91"/>
      <c r="D1301" s="11" t="s">
        <v>3</v>
      </c>
      <c r="E1301" s="13" t="s">
        <v>4</v>
      </c>
      <c r="F1301" s="35" t="s">
        <v>5</v>
      </c>
      <c r="G1301" s="35" t="s">
        <v>7</v>
      </c>
      <c r="H1301" s="35" t="s">
        <v>27</v>
      </c>
      <c r="I1301" s="35" t="s">
        <v>47</v>
      </c>
      <c r="J1301" s="11" t="s">
        <v>14</v>
      </c>
      <c r="K1301" s="11" t="s">
        <v>15</v>
      </c>
      <c r="L1301" s="12" t="s">
        <v>17</v>
      </c>
      <c r="P1301" s="29"/>
      <c r="Q1301" s="28"/>
    </row>
    <row r="1302" spans="1:17">
      <c r="A1302">
        <v>1</v>
      </c>
      <c r="B1302" s="16" t="s">
        <v>25</v>
      </c>
      <c r="C1302" s="2"/>
      <c r="D1302" s="3" t="s">
        <v>28</v>
      </c>
      <c r="E1302" s="14" t="s">
        <v>29</v>
      </c>
      <c r="F1302" s="3" t="s">
        <v>30</v>
      </c>
      <c r="G1302" s="36"/>
      <c r="H1302" s="36" t="s">
        <v>30</v>
      </c>
      <c r="I1302" s="36" t="s">
        <v>30</v>
      </c>
      <c r="J1302" s="36"/>
      <c r="K1302" s="31"/>
      <c r="L1302" s="7" t="s">
        <v>219</v>
      </c>
    </row>
    <row r="1303" spans="1:17">
      <c r="A1303">
        <v>2</v>
      </c>
      <c r="B1303" s="16"/>
      <c r="C1303" s="2"/>
      <c r="D1303" s="3"/>
      <c r="E1303" s="14"/>
      <c r="F1303" s="3"/>
      <c r="G1303" s="36"/>
      <c r="H1303" s="36"/>
      <c r="I1303" s="36"/>
      <c r="J1303" s="36"/>
      <c r="K1303" s="31"/>
      <c r="L1303" s="7"/>
    </row>
    <row r="1304" spans="1:17">
      <c r="A1304">
        <v>3</v>
      </c>
      <c r="B1304" s="16"/>
      <c r="C1304" s="2"/>
      <c r="D1304" s="3"/>
      <c r="E1304" s="14"/>
      <c r="F1304" s="3"/>
      <c r="G1304" s="36"/>
      <c r="H1304" s="36"/>
      <c r="I1304" s="36"/>
      <c r="J1304" s="36"/>
      <c r="K1304" s="31"/>
      <c r="L1304" s="7"/>
    </row>
    <row r="1305" spans="1:17">
      <c r="A1305">
        <v>4</v>
      </c>
      <c r="B1305" s="16"/>
      <c r="C1305" s="2"/>
      <c r="D1305" s="3"/>
      <c r="E1305" s="14"/>
      <c r="F1305" s="3"/>
      <c r="G1305" s="36"/>
      <c r="H1305" s="36"/>
      <c r="I1305" s="36"/>
      <c r="J1305" s="36"/>
      <c r="K1305" s="31"/>
      <c r="L1305" s="7"/>
    </row>
    <row r="1306" spans="1:17">
      <c r="A1306">
        <v>5</v>
      </c>
      <c r="B1306" s="16"/>
      <c r="C1306" s="2"/>
      <c r="D1306" s="3"/>
      <c r="E1306" s="14"/>
      <c r="F1306" s="3"/>
      <c r="G1306" s="36"/>
      <c r="H1306" s="36"/>
      <c r="I1306" s="36"/>
      <c r="J1306" s="36"/>
      <c r="K1306" s="31"/>
      <c r="L1306" s="7"/>
    </row>
    <row r="1307" spans="1:17">
      <c r="A1307">
        <v>6</v>
      </c>
      <c r="B1307" s="16"/>
      <c r="C1307" s="2"/>
      <c r="D1307" s="3"/>
      <c r="E1307" s="14"/>
      <c r="F1307" s="3"/>
      <c r="G1307" s="36"/>
      <c r="H1307" s="36"/>
      <c r="I1307" s="36"/>
      <c r="J1307" s="36"/>
      <c r="K1307" s="31"/>
      <c r="L1307" s="7"/>
    </row>
    <row r="1308" spans="1:17">
      <c r="A1308">
        <v>7</v>
      </c>
      <c r="B1308" s="16"/>
      <c r="C1308" s="2"/>
      <c r="D1308" s="3"/>
      <c r="E1308" s="14"/>
      <c r="F1308" s="3"/>
      <c r="G1308" s="36"/>
      <c r="H1308" s="36"/>
      <c r="I1308" s="36"/>
      <c r="J1308" s="36"/>
      <c r="K1308" s="31"/>
      <c r="L1308" s="7"/>
    </row>
    <row r="1309" spans="1:17">
      <c r="A1309">
        <v>8</v>
      </c>
      <c r="B1309" s="16"/>
      <c r="C1309" s="2"/>
      <c r="D1309" s="3"/>
      <c r="E1309" s="14"/>
      <c r="F1309" s="3"/>
      <c r="G1309" s="36"/>
      <c r="H1309" s="36"/>
      <c r="I1309" s="36"/>
      <c r="J1309" s="36"/>
      <c r="K1309" s="31"/>
      <c r="L1309" s="7"/>
    </row>
    <row r="1310" spans="1:17">
      <c r="A1310">
        <v>9</v>
      </c>
      <c r="B1310" s="16"/>
      <c r="C1310" s="2"/>
      <c r="D1310" s="3"/>
      <c r="E1310" s="14"/>
      <c r="F1310" s="3"/>
      <c r="G1310" s="36"/>
      <c r="H1310" s="36"/>
      <c r="I1310" s="36"/>
      <c r="J1310" s="36"/>
      <c r="K1310" s="31"/>
      <c r="L1310" s="7"/>
    </row>
    <row r="1311" spans="1:17">
      <c r="A1311">
        <v>10</v>
      </c>
      <c r="B1311" s="16"/>
      <c r="C1311" s="2"/>
      <c r="D1311" s="3"/>
      <c r="E1311" s="14"/>
      <c r="F1311" s="3"/>
      <c r="G1311" s="36"/>
      <c r="H1311" s="36"/>
      <c r="I1311" s="36"/>
      <c r="J1311" s="36"/>
      <c r="K1311" s="31"/>
      <c r="L1311" s="7"/>
    </row>
    <row r="1312" spans="1:17">
      <c r="A1312">
        <v>11</v>
      </c>
      <c r="B1312" s="16"/>
      <c r="C1312" s="2"/>
      <c r="D1312" s="3"/>
      <c r="E1312" s="14"/>
      <c r="F1312" s="3"/>
      <c r="G1312" s="36"/>
      <c r="H1312" s="36"/>
      <c r="I1312" s="36"/>
      <c r="J1312" s="36"/>
      <c r="K1312" s="31"/>
      <c r="L1312" s="7"/>
    </row>
    <row r="1313" spans="1:12">
      <c r="A1313">
        <v>12</v>
      </c>
      <c r="B1313" s="16"/>
      <c r="C1313" s="2"/>
      <c r="D1313" s="3"/>
      <c r="E1313" s="14"/>
      <c r="F1313" s="3"/>
      <c r="G1313" s="36"/>
      <c r="H1313" s="36"/>
      <c r="I1313" s="36"/>
      <c r="J1313" s="36"/>
      <c r="K1313" s="31"/>
      <c r="L1313" s="7"/>
    </row>
    <row r="1314" spans="1:12">
      <c r="A1314">
        <v>13</v>
      </c>
      <c r="B1314" s="16"/>
      <c r="C1314" s="2"/>
      <c r="D1314" s="3"/>
      <c r="E1314" s="14"/>
      <c r="F1314" s="3"/>
      <c r="G1314" s="36"/>
      <c r="H1314" s="36"/>
      <c r="I1314" s="36"/>
      <c r="J1314" s="36"/>
      <c r="K1314" s="31"/>
      <c r="L1314" s="7"/>
    </row>
    <row r="1315" spans="1:12">
      <c r="A1315">
        <v>14</v>
      </c>
      <c r="B1315" s="16"/>
      <c r="C1315" s="2"/>
      <c r="D1315" s="3"/>
      <c r="E1315" s="14"/>
      <c r="F1315" s="3"/>
      <c r="G1315" s="36"/>
      <c r="H1315" s="36"/>
      <c r="I1315" s="36"/>
      <c r="J1315" s="36"/>
      <c r="K1315" s="31"/>
      <c r="L1315" s="7"/>
    </row>
    <row r="1316" spans="1:12">
      <c r="A1316">
        <v>15</v>
      </c>
      <c r="B1316" s="16"/>
      <c r="C1316" s="2"/>
      <c r="D1316" s="3"/>
      <c r="E1316" s="14"/>
      <c r="F1316" s="3"/>
      <c r="G1316" s="36"/>
      <c r="H1316" s="36"/>
      <c r="I1316" s="36"/>
      <c r="J1316" s="36"/>
      <c r="K1316" s="31"/>
      <c r="L1316" s="7"/>
    </row>
    <row r="1317" spans="1:12">
      <c r="A1317">
        <v>16</v>
      </c>
      <c r="B1317" s="16"/>
      <c r="C1317" s="2"/>
      <c r="D1317" s="3"/>
      <c r="E1317" s="14"/>
      <c r="F1317" s="3"/>
      <c r="G1317" s="36"/>
      <c r="H1317" s="36"/>
      <c r="I1317" s="36"/>
      <c r="J1317" s="36"/>
      <c r="K1317" s="31"/>
      <c r="L1317" s="7"/>
    </row>
    <row r="1318" spans="1:12">
      <c r="A1318">
        <v>17</v>
      </c>
      <c r="B1318" s="16"/>
      <c r="C1318" s="2"/>
      <c r="D1318" s="3"/>
      <c r="E1318" s="14"/>
      <c r="F1318" s="3"/>
      <c r="G1318" s="36"/>
      <c r="H1318" s="36"/>
      <c r="I1318" s="36"/>
      <c r="J1318" s="36"/>
      <c r="K1318" s="31"/>
      <c r="L1318" s="7"/>
    </row>
    <row r="1319" spans="1:12">
      <c r="A1319">
        <v>18</v>
      </c>
      <c r="B1319" s="16"/>
      <c r="C1319" s="2"/>
      <c r="D1319" s="3"/>
      <c r="E1319" s="14"/>
      <c r="F1319" s="3"/>
      <c r="G1319" s="36"/>
      <c r="H1319" s="36"/>
      <c r="I1319" s="36"/>
      <c r="J1319" s="36"/>
      <c r="K1319" s="31"/>
      <c r="L1319" s="7"/>
    </row>
    <row r="1320" spans="1:12">
      <c r="A1320">
        <v>19</v>
      </c>
      <c r="B1320" s="16"/>
      <c r="C1320" s="2"/>
      <c r="D1320" s="3"/>
      <c r="E1320" s="14"/>
      <c r="F1320" s="3"/>
      <c r="G1320" s="36"/>
      <c r="H1320" s="36"/>
      <c r="I1320" s="36"/>
      <c r="J1320" s="36"/>
      <c r="K1320" s="31"/>
      <c r="L1320" s="7"/>
    </row>
    <row r="1321" spans="1:12">
      <c r="A1321">
        <v>20</v>
      </c>
      <c r="B1321" s="16"/>
      <c r="C1321" s="2"/>
      <c r="D1321" s="3"/>
      <c r="E1321" s="3"/>
      <c r="F1321" s="14"/>
      <c r="G1321" s="3"/>
      <c r="H1321" s="36"/>
      <c r="I1321" s="36"/>
      <c r="J1321" s="36"/>
      <c r="K1321" s="44"/>
      <c r="L1321" s="31"/>
    </row>
    <row r="1322" spans="1:12">
      <c r="A1322">
        <v>21</v>
      </c>
      <c r="B1322" s="16"/>
      <c r="C1322" s="2"/>
      <c r="D1322" s="3"/>
      <c r="E1322" s="3"/>
      <c r="F1322" s="14"/>
      <c r="G1322" s="3"/>
      <c r="H1322" s="36"/>
      <c r="I1322" s="36"/>
      <c r="J1322" s="36"/>
      <c r="K1322" s="36"/>
      <c r="L1322" s="31"/>
    </row>
    <row r="1323" spans="1:12">
      <c r="A1323">
        <v>22</v>
      </c>
      <c r="B1323" s="16" t="s">
        <v>34</v>
      </c>
      <c r="C1323" s="2"/>
      <c r="D1323" s="3" t="s">
        <v>35</v>
      </c>
      <c r="E1323" s="14" t="s">
        <v>36</v>
      </c>
      <c r="F1323" s="36"/>
      <c r="G1323" s="36"/>
      <c r="H1323" s="36"/>
      <c r="I1323" s="36"/>
      <c r="J1323" s="30" t="s">
        <v>37</v>
      </c>
      <c r="K1323" s="3"/>
      <c r="L1323" s="7"/>
    </row>
    <row r="1324" spans="1:12" ht="19.5" thickBot="1">
      <c r="A1324">
        <v>23</v>
      </c>
      <c r="B1324" s="17" t="s">
        <v>38</v>
      </c>
      <c r="C1324" s="18"/>
      <c r="D1324" s="8" t="s">
        <v>39</v>
      </c>
      <c r="E1324" s="15" t="s">
        <v>36</v>
      </c>
      <c r="F1324" s="37"/>
      <c r="G1324" s="37"/>
      <c r="H1324" s="37"/>
      <c r="I1324" s="37"/>
      <c r="J1324" s="38" t="s">
        <v>37</v>
      </c>
      <c r="K1324" s="8"/>
      <c r="L1324" s="9" t="s">
        <v>50</v>
      </c>
    </row>
    <row r="1325" spans="1:12" ht="19.5" thickTop="1">
      <c r="J1325" s="43"/>
    </row>
    <row r="1326" spans="1:12">
      <c r="B1326" t="str">
        <f>HYPERLINK("#'テーブル設計'!B2","テーブル一覧")</f>
        <v>テーブル一覧</v>
      </c>
    </row>
    <row r="1327" spans="1:12" ht="19.5" thickBot="1"/>
    <row r="1328" spans="1:12" ht="19.5" thickTop="1">
      <c r="B1328" s="19" t="s">
        <v>21</v>
      </c>
      <c r="C1328" s="4"/>
      <c r="D1328" s="5"/>
      <c r="E1328" s="6"/>
    </row>
    <row r="1329" spans="2:5" ht="19.5" thickBot="1">
      <c r="B1329" s="17" t="s">
        <v>22</v>
      </c>
      <c r="C1329" s="15"/>
      <c r="D1329" s="21"/>
      <c r="E1329" s="20"/>
    </row>
    <row r="1330" spans="2:5" ht="19.5" thickTop="1"/>
    <row r="1331" spans="2:5">
      <c r="B1331" s="1" t="s">
        <v>23</v>
      </c>
      <c r="C1331" s="14"/>
    </row>
    <row r="1336" spans="2:5">
      <c r="B1336" s="1" t="s">
        <v>24</v>
      </c>
      <c r="C1336" s="14"/>
    </row>
    <row r="1337" spans="2:5">
      <c r="C1337" t="s">
        <v>25</v>
      </c>
    </row>
    <row r="1339" spans="2:5">
      <c r="B1339" s="1" t="s">
        <v>26</v>
      </c>
      <c r="C1339" s="14"/>
    </row>
    <row r="1340" spans="2:5">
      <c r="C1340" s="10"/>
    </row>
    <row r="1345" spans="1:17">
      <c r="B1345" s="1" t="s">
        <v>49</v>
      </c>
      <c r="C1345" s="14"/>
    </row>
    <row r="1346" spans="1:17">
      <c r="C1346" s="24" t="s">
        <v>65</v>
      </c>
    </row>
    <row r="1354" spans="1:17" ht="19.5" thickBot="1"/>
    <row r="1355" spans="1:17" ht="19.5" thickTop="1">
      <c r="B1355" s="90" t="s">
        <v>2</v>
      </c>
      <c r="C1355" s="91"/>
      <c r="D1355" s="11" t="s">
        <v>3</v>
      </c>
      <c r="E1355" s="13" t="s">
        <v>4</v>
      </c>
      <c r="F1355" s="35" t="s">
        <v>5</v>
      </c>
      <c r="G1355" s="35" t="s">
        <v>7</v>
      </c>
      <c r="H1355" s="35" t="s">
        <v>27</v>
      </c>
      <c r="I1355" s="35" t="s">
        <v>47</v>
      </c>
      <c r="J1355" s="11" t="s">
        <v>14</v>
      </c>
      <c r="K1355" s="11" t="s">
        <v>15</v>
      </c>
      <c r="L1355" s="12" t="s">
        <v>17</v>
      </c>
      <c r="O1355" s="29"/>
      <c r="P1355" s="29"/>
      <c r="Q1355" s="28"/>
    </row>
    <row r="1356" spans="1:17">
      <c r="A1356">
        <v>1</v>
      </c>
      <c r="B1356" s="16" t="s">
        <v>25</v>
      </c>
      <c r="C1356" s="2"/>
      <c r="D1356" s="3" t="s">
        <v>28</v>
      </c>
      <c r="E1356" s="14" t="s">
        <v>29</v>
      </c>
      <c r="F1356" s="3" t="s">
        <v>30</v>
      </c>
      <c r="G1356" s="36"/>
      <c r="H1356" s="36" t="s">
        <v>30</v>
      </c>
      <c r="I1356" s="36" t="s">
        <v>30</v>
      </c>
      <c r="J1356" s="36"/>
      <c r="K1356" s="31"/>
      <c r="L1356" s="7" t="s">
        <v>219</v>
      </c>
    </row>
    <row r="1357" spans="1:17">
      <c r="A1357">
        <v>2</v>
      </c>
      <c r="B1357" s="16"/>
      <c r="C1357" s="2"/>
      <c r="D1357" s="3"/>
      <c r="E1357" s="14"/>
      <c r="F1357" s="3"/>
      <c r="G1357" s="36"/>
      <c r="H1357" s="36"/>
      <c r="I1357" s="36"/>
      <c r="J1357" s="36"/>
      <c r="K1357" s="31"/>
      <c r="L1357" s="7"/>
    </row>
    <row r="1358" spans="1:17">
      <c r="A1358">
        <v>3</v>
      </c>
      <c r="B1358" s="16"/>
      <c r="C1358" s="2"/>
      <c r="D1358" s="3"/>
      <c r="E1358" s="14"/>
      <c r="F1358" s="3"/>
      <c r="G1358" s="36"/>
      <c r="H1358" s="36"/>
      <c r="I1358" s="36"/>
      <c r="J1358" s="36"/>
      <c r="K1358" s="31"/>
      <c r="L1358" s="7"/>
    </row>
    <row r="1359" spans="1:17">
      <c r="A1359">
        <v>4</v>
      </c>
      <c r="B1359" s="16"/>
      <c r="C1359" s="2"/>
      <c r="D1359" s="3"/>
      <c r="E1359" s="14"/>
      <c r="F1359" s="3"/>
      <c r="G1359" s="36"/>
      <c r="H1359" s="36"/>
      <c r="I1359" s="36"/>
      <c r="J1359" s="36"/>
      <c r="K1359" s="31"/>
      <c r="L1359" s="7"/>
    </row>
    <row r="1360" spans="1:17">
      <c r="A1360">
        <v>5</v>
      </c>
      <c r="B1360" s="16"/>
      <c r="C1360" s="2"/>
      <c r="D1360" s="3"/>
      <c r="E1360" s="14"/>
      <c r="F1360" s="3"/>
      <c r="G1360" s="36"/>
      <c r="H1360" s="36"/>
      <c r="I1360" s="36"/>
      <c r="J1360" s="36"/>
      <c r="K1360" s="31"/>
      <c r="L1360" s="7"/>
    </row>
    <row r="1361" spans="1:12">
      <c r="A1361">
        <v>6</v>
      </c>
      <c r="B1361" s="16"/>
      <c r="C1361" s="2"/>
      <c r="D1361" s="3"/>
      <c r="E1361" s="14"/>
      <c r="F1361" s="3"/>
      <c r="G1361" s="36"/>
      <c r="H1361" s="36"/>
      <c r="I1361" s="36"/>
      <c r="J1361" s="36"/>
      <c r="K1361" s="31"/>
      <c r="L1361" s="7"/>
    </row>
    <row r="1362" spans="1:12">
      <c r="A1362">
        <v>7</v>
      </c>
      <c r="B1362" s="16"/>
      <c r="C1362" s="2"/>
      <c r="D1362" s="3"/>
      <c r="E1362" s="14"/>
      <c r="F1362" s="3"/>
      <c r="G1362" s="36"/>
      <c r="H1362" s="36"/>
      <c r="I1362" s="36"/>
      <c r="J1362" s="36"/>
      <c r="K1362" s="31"/>
      <c r="L1362" s="7"/>
    </row>
    <row r="1363" spans="1:12">
      <c r="A1363">
        <v>8</v>
      </c>
      <c r="B1363" s="16"/>
      <c r="C1363" s="2"/>
      <c r="D1363" s="3"/>
      <c r="E1363" s="14"/>
      <c r="F1363" s="3"/>
      <c r="G1363" s="36"/>
      <c r="H1363" s="36"/>
      <c r="I1363" s="36"/>
      <c r="J1363" s="36"/>
      <c r="K1363" s="31"/>
      <c r="L1363" s="7"/>
    </row>
    <row r="1364" spans="1:12">
      <c r="A1364">
        <v>9</v>
      </c>
      <c r="B1364" s="16"/>
      <c r="C1364" s="2"/>
      <c r="D1364" s="3"/>
      <c r="E1364" s="14"/>
      <c r="F1364" s="3"/>
      <c r="G1364" s="36"/>
      <c r="H1364" s="36"/>
      <c r="I1364" s="36"/>
      <c r="J1364" s="36"/>
      <c r="K1364" s="31"/>
      <c r="L1364" s="7"/>
    </row>
    <row r="1365" spans="1:12">
      <c r="A1365">
        <v>10</v>
      </c>
      <c r="B1365" s="16"/>
      <c r="C1365" s="2"/>
      <c r="D1365" s="3"/>
      <c r="E1365" s="14"/>
      <c r="F1365" s="3"/>
      <c r="G1365" s="36"/>
      <c r="H1365" s="36"/>
      <c r="I1365" s="36"/>
      <c r="J1365" s="36"/>
      <c r="K1365" s="31"/>
      <c r="L1365" s="7"/>
    </row>
    <row r="1366" spans="1:12">
      <c r="A1366">
        <v>11</v>
      </c>
      <c r="B1366" s="16"/>
      <c r="C1366" s="2"/>
      <c r="D1366" s="3"/>
      <c r="E1366" s="14"/>
      <c r="F1366" s="3"/>
      <c r="G1366" s="36"/>
      <c r="H1366" s="36"/>
      <c r="I1366" s="36"/>
      <c r="J1366" s="36"/>
      <c r="K1366" s="31"/>
      <c r="L1366" s="7"/>
    </row>
    <row r="1367" spans="1:12">
      <c r="A1367">
        <v>12</v>
      </c>
      <c r="B1367" s="16"/>
      <c r="C1367" s="2"/>
      <c r="D1367" s="3"/>
      <c r="E1367" s="14"/>
      <c r="F1367" s="3"/>
      <c r="G1367" s="36"/>
      <c r="H1367" s="36"/>
      <c r="I1367" s="36"/>
      <c r="J1367" s="36"/>
      <c r="K1367" s="31"/>
      <c r="L1367" s="7"/>
    </row>
    <row r="1368" spans="1:12">
      <c r="A1368">
        <v>13</v>
      </c>
      <c r="B1368" s="16"/>
      <c r="C1368" s="2"/>
      <c r="D1368" s="3"/>
      <c r="E1368" s="14"/>
      <c r="F1368" s="3"/>
      <c r="G1368" s="36"/>
      <c r="H1368" s="36"/>
      <c r="I1368" s="36"/>
      <c r="J1368" s="36"/>
      <c r="K1368" s="31"/>
      <c r="L1368" s="7"/>
    </row>
    <row r="1369" spans="1:12">
      <c r="A1369">
        <v>14</v>
      </c>
      <c r="B1369" s="16"/>
      <c r="C1369" s="2"/>
      <c r="D1369" s="3"/>
      <c r="E1369" s="14"/>
      <c r="F1369" s="3"/>
      <c r="G1369" s="36"/>
      <c r="H1369" s="36"/>
      <c r="I1369" s="36"/>
      <c r="J1369" s="36"/>
      <c r="K1369" s="31"/>
      <c r="L1369" s="7"/>
    </row>
    <row r="1370" spans="1:12">
      <c r="A1370">
        <v>15</v>
      </c>
      <c r="B1370" s="16"/>
      <c r="C1370" s="2"/>
      <c r="D1370" s="3"/>
      <c r="E1370" s="14"/>
      <c r="F1370" s="3"/>
      <c r="G1370" s="36"/>
      <c r="H1370" s="36"/>
      <c r="I1370" s="36"/>
      <c r="J1370" s="36"/>
      <c r="K1370" s="31"/>
      <c r="L1370" s="7"/>
    </row>
    <row r="1371" spans="1:12">
      <c r="A1371">
        <v>16</v>
      </c>
      <c r="B1371" s="16"/>
      <c r="C1371" s="2"/>
      <c r="D1371" s="3"/>
      <c r="E1371" s="14"/>
      <c r="F1371" s="3"/>
      <c r="G1371" s="36"/>
      <c r="H1371" s="36"/>
      <c r="I1371" s="36"/>
      <c r="J1371" s="36"/>
      <c r="K1371" s="31"/>
      <c r="L1371" s="7"/>
    </row>
    <row r="1372" spans="1:12">
      <c r="A1372">
        <v>17</v>
      </c>
      <c r="B1372" s="16"/>
      <c r="C1372" s="2"/>
      <c r="D1372" s="3"/>
      <c r="E1372" s="14"/>
      <c r="F1372" s="3"/>
      <c r="G1372" s="36"/>
      <c r="H1372" s="36"/>
      <c r="I1372" s="36"/>
      <c r="J1372" s="36"/>
      <c r="K1372" s="31"/>
      <c r="L1372" s="7"/>
    </row>
    <row r="1373" spans="1:12">
      <c r="A1373">
        <v>18</v>
      </c>
      <c r="B1373" s="16"/>
      <c r="C1373" s="2"/>
      <c r="D1373" s="3"/>
      <c r="E1373" s="14"/>
      <c r="F1373" s="3"/>
      <c r="G1373" s="36"/>
      <c r="H1373" s="36"/>
      <c r="I1373" s="36"/>
      <c r="J1373" s="36"/>
      <c r="K1373" s="31"/>
      <c r="L1373" s="7"/>
    </row>
    <row r="1374" spans="1:12">
      <c r="A1374">
        <v>19</v>
      </c>
      <c r="B1374" s="16"/>
      <c r="C1374" s="2"/>
      <c r="D1374" s="3"/>
      <c r="E1374" s="14"/>
      <c r="F1374" s="3"/>
      <c r="G1374" s="36"/>
      <c r="H1374" s="36"/>
      <c r="I1374" s="36"/>
      <c r="J1374" s="36"/>
      <c r="K1374" s="31"/>
      <c r="L1374" s="7"/>
    </row>
    <row r="1375" spans="1:12">
      <c r="A1375">
        <v>20</v>
      </c>
      <c r="B1375" s="16"/>
      <c r="C1375" s="2"/>
      <c r="D1375" s="3"/>
      <c r="E1375" s="3"/>
      <c r="F1375" s="14"/>
      <c r="G1375" s="3"/>
      <c r="H1375" s="36"/>
      <c r="I1375" s="36"/>
      <c r="J1375" s="36"/>
      <c r="K1375" s="44"/>
      <c r="L1375" s="31"/>
    </row>
    <row r="1376" spans="1:12">
      <c r="A1376">
        <v>21</v>
      </c>
      <c r="B1376" s="16"/>
      <c r="C1376" s="2"/>
      <c r="D1376" s="3"/>
      <c r="E1376" s="3"/>
      <c r="F1376" s="14"/>
      <c r="G1376" s="3"/>
      <c r="H1376" s="36"/>
      <c r="I1376" s="36"/>
      <c r="J1376" s="36"/>
      <c r="K1376" s="36"/>
      <c r="L1376" s="31"/>
    </row>
    <row r="1377" spans="1:12">
      <c r="A1377">
        <v>22</v>
      </c>
      <c r="B1377" s="16" t="s">
        <v>34</v>
      </c>
      <c r="C1377" s="2"/>
      <c r="D1377" s="3" t="s">
        <v>35</v>
      </c>
      <c r="E1377" s="14" t="s">
        <v>36</v>
      </c>
      <c r="F1377" s="36"/>
      <c r="G1377" s="36"/>
      <c r="H1377" s="36"/>
      <c r="I1377" s="36"/>
      <c r="J1377" s="30" t="s">
        <v>37</v>
      </c>
      <c r="K1377" s="3"/>
      <c r="L1377" s="7"/>
    </row>
    <row r="1378" spans="1:12" ht="19.5" thickBot="1">
      <c r="A1378">
        <v>23</v>
      </c>
      <c r="B1378" s="17" t="s">
        <v>38</v>
      </c>
      <c r="C1378" s="18"/>
      <c r="D1378" s="8" t="s">
        <v>39</v>
      </c>
      <c r="E1378" s="15" t="s">
        <v>36</v>
      </c>
      <c r="F1378" s="37"/>
      <c r="G1378" s="37"/>
      <c r="H1378" s="37"/>
      <c r="I1378" s="37"/>
      <c r="J1378" s="38" t="s">
        <v>37</v>
      </c>
      <c r="K1378" s="8"/>
      <c r="L1378" s="9" t="s">
        <v>50</v>
      </c>
    </row>
    <row r="1379" spans="1:12" ht="19.5" thickTop="1">
      <c r="J1379" s="43"/>
    </row>
    <row r="1380" spans="1:12">
      <c r="B1380" t="str">
        <f>HYPERLINK("#'テーブル設計'!B2","テーブル一覧")</f>
        <v>テーブル一覧</v>
      </c>
    </row>
  </sheetData>
  <mergeCells count="30">
    <mergeCell ref="B110:C110"/>
    <mergeCell ref="B359:C359"/>
    <mergeCell ref="B578:C578"/>
    <mergeCell ref="B616:C616"/>
    <mergeCell ref="B656:C656"/>
    <mergeCell ref="B538:C538"/>
    <mergeCell ref="B276:C276"/>
    <mergeCell ref="B320:C320"/>
    <mergeCell ref="B408:C408"/>
    <mergeCell ref="B451:C451"/>
    <mergeCell ref="B893:C893"/>
    <mergeCell ref="B1017:C1017"/>
    <mergeCell ref="B149:C149"/>
    <mergeCell ref="B189:C189"/>
    <mergeCell ref="B238:C238"/>
    <mergeCell ref="B498:C498"/>
    <mergeCell ref="B694:C694"/>
    <mergeCell ref="B733:C733"/>
    <mergeCell ref="B774:C774"/>
    <mergeCell ref="B817:C817"/>
    <mergeCell ref="B855:C855"/>
    <mergeCell ref="B928:C928"/>
    <mergeCell ref="B1204:C1204"/>
    <mergeCell ref="B1247:C1247"/>
    <mergeCell ref="B1301:C1301"/>
    <mergeCell ref="B1355:C1355"/>
    <mergeCell ref="B974:C974"/>
    <mergeCell ref="B1066:C1066"/>
    <mergeCell ref="B1112:C1112"/>
    <mergeCell ref="B1156:C1156"/>
  </mergeCells>
  <phoneticPr fontId="7"/>
  <pageMargins left="0.25" right="0.25" top="0.75" bottom="0.75" header="0.3" footer="0.3"/>
  <pageSetup paperSize="9" scale="94" fitToHeight="0" orientation="landscape" r:id="rId1"/>
  <rowBreaks count="96" manualBreakCount="96">
    <brk id="20" max="11" man="1"/>
    <brk id="50" max="11" man="1"/>
    <brk id="83" max="16383" man="1"/>
    <brk id="109" max="11" man="1"/>
    <brk id="123" max="11" man="1"/>
    <brk id="148" max="11" man="1"/>
    <brk id="163" max="11" man="1"/>
    <brk id="188" max="11" man="1"/>
    <brk id="213" max="11" man="1"/>
    <brk id="237" max="11" man="1"/>
    <brk id="248" max="11" man="1"/>
    <brk id="275" max="11" man="1"/>
    <brk id="292" max="11" man="1"/>
    <brk id="319" max="11" man="1"/>
    <brk id="331" max="11" man="1"/>
    <brk id="375" max="11" man="1"/>
    <brk id="380" max="11" man="1"/>
    <brk id="407" max="11" man="1"/>
    <brk id="423" max="11" man="1"/>
    <brk id="450" max="11" man="1"/>
    <brk id="470" max="11" man="1"/>
    <brk id="510" max="11" man="1"/>
    <brk id="537" max="11" man="1"/>
    <brk id="550" max="11" man="1"/>
    <brk id="588" max="11" man="1"/>
    <brk id="615" max="11" man="1"/>
    <brk id="628" max="11" man="1"/>
    <brk id="666" max="11" man="1"/>
    <brk id="705" max="11" man="1"/>
    <brk id="732" max="11" man="1"/>
    <brk id="745" max="11" man="1"/>
    <brk id="773" max="11" man="1"/>
    <brk id="789" max="11" man="1"/>
    <brk id="816" max="11" man="1"/>
    <brk id="827" max="11" man="1"/>
    <brk id="865" max="11" man="1"/>
    <brk id="900" max="11" man="1"/>
    <brk id="927" max="11" man="1"/>
    <brk id="946" max="11" man="1"/>
    <brk id="973" max="11" man="1"/>
    <brk id="989" max="11" man="1"/>
    <brk id="1016" max="11" man="1"/>
    <brk id="1038" max="11" man="1"/>
    <brk id="1065" max="11" man="1"/>
    <brk id="1084" max="11" man="1"/>
    <brk id="1111" max="11" man="1"/>
    <brk id="1129" max="11" man="1"/>
    <brk id="1155" max="11" man="1"/>
    <brk id="331" max="11" man="1"/>
    <brk id="358" max="11" man="1"/>
    <brk id="380" max="11" man="1"/>
    <brk id="407" max="11" man="1"/>
    <brk id="423" max="11" man="1"/>
    <brk id="450" max="11" man="1"/>
    <brk id="470" max="11" man="1"/>
    <brk id="497" max="11" man="1"/>
    <brk id="510" max="11" man="1"/>
    <brk id="537" max="11" man="1"/>
    <brk id="550" max="11" man="1"/>
    <brk id="577" max="11" man="1"/>
    <brk id="588" max="11" man="1"/>
    <brk id="615" max="11" man="1"/>
    <brk id="628" max="11" man="1"/>
    <brk id="655" max="11" man="1"/>
    <brk id="666" max="11" man="1"/>
    <brk id="693" max="11" man="1"/>
    <brk id="705" max="11" man="1"/>
    <brk id="732" max="11" man="1"/>
    <brk id="745" max="11" man="1"/>
    <brk id="789" max="11" man="1"/>
    <brk id="816" max="11" man="1"/>
    <brk id="827" max="11" man="1"/>
    <brk id="854" max="11" man="1"/>
    <brk id="865" max="11" man="1"/>
    <brk id="892" max="11" man="1"/>
    <brk id="900" max="11" man="1"/>
    <brk id="927" max="11" man="1"/>
    <brk id="827" max="11" man="1"/>
    <brk id="854" max="11" man="1"/>
    <brk id="865" max="11" man="1"/>
    <brk id="946" max="11" man="1"/>
    <brk id="973" max="11" man="1"/>
    <brk id="865" max="11" man="1"/>
    <brk id="892" max="11" man="1"/>
    <brk id="989" max="11" man="1"/>
    <brk id="1016" max="11" man="1"/>
    <brk id="123" max="11" man="1"/>
    <brk id="148" max="11" man="1"/>
    <brk id="1176" max="11" man="1"/>
    <brk id="1203" max="11" man="1"/>
    <brk id="1219" max="11" man="1"/>
    <brk id="1246" max="11" man="1"/>
    <brk id="1273" max="11" man="1"/>
    <brk id="1300" max="11" man="1"/>
    <brk id="1327" max="11" man="1"/>
    <brk id="1354" max="11"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テーブル設計</vt:lpstr>
      <vt:lpstr>テーブル設計!Print_Area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辻谷 宣宏</dc:creator>
  <cp:lastModifiedBy>辻谷 宣宏</cp:lastModifiedBy>
  <cp:lastPrinted>2026-07-31T06:20:53Z</cp:lastPrinted>
  <dcterms:created xsi:type="dcterms:W3CDTF">2026-08-18T01:19:05Z</dcterms:created>
  <dcterms:modified xsi:type="dcterms:W3CDTF">2026-09-25T06:15:56Z</dcterms:modified>
</cp:coreProperties>
</file>