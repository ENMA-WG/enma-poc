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ENMA-WG\enma-poc\docs\"/>
    </mc:Choice>
  </mc:AlternateContent>
  <xr:revisionPtr revIDLastSave="0" documentId="13_ncr:1_{9DA05CFA-C5A1-4CCA-BBD4-64C305CD896C}" xr6:coauthVersionLast="47" xr6:coauthVersionMax="47" xr10:uidLastSave="{00000000-0000-0000-0000-000000000000}"/>
  <bookViews>
    <workbookView xWindow="-120" yWindow="-120" windowWidth="29040" windowHeight="15720" xr2:uid="{00000000-000D-0000-FFFF-FFFF00000000}"/>
  </bookViews>
  <sheets>
    <sheet name="テーブル設計" sheetId="1" r:id="rId1"/>
  </sheets>
  <definedNames>
    <definedName name="_xlnm.Print_Area" localSheetId="0">テーブル設計!$A$1:$L$1433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5" i="1" l="1"/>
  <c r="C22" i="1"/>
  <c r="C23" i="1"/>
  <c r="C24" i="1"/>
  <c r="C25" i="1"/>
  <c r="C26" i="1"/>
  <c r="C27" i="1"/>
  <c r="C28" i="1"/>
  <c r="C29" i="1"/>
  <c r="C30" i="1"/>
  <c r="C31" i="1"/>
  <c r="C32" i="1"/>
  <c r="C33" i="1"/>
  <c r="C34" i="1"/>
  <c r="C35" i="1"/>
  <c r="C36" i="1"/>
  <c r="C37" i="1"/>
  <c r="C38" i="1"/>
  <c r="C39" i="1"/>
  <c r="C40" i="1"/>
  <c r="C41" i="1"/>
  <c r="C42" i="1"/>
  <c r="C43" i="1"/>
  <c r="C44" i="1"/>
  <c r="C46" i="1"/>
  <c r="C47" i="1"/>
  <c r="C48" i="1"/>
  <c r="C49" i="1"/>
  <c r="C50" i="1"/>
  <c r="C51" i="1"/>
  <c r="B1134" i="1"/>
  <c r="M1091" i="1"/>
  <c r="B1089" i="1"/>
  <c r="M1042" i="1"/>
  <c r="M1136" i="1"/>
  <c r="B1179" i="1"/>
  <c r="M427" i="1"/>
  <c r="M384" i="1"/>
  <c r="B472" i="1"/>
  <c r="B425" i="1"/>
  <c r="M296" i="1"/>
  <c r="M252" i="1"/>
  <c r="B333" i="1"/>
  <c r="B294" i="1"/>
  <c r="B552" i="1"/>
  <c r="M514" i="1"/>
  <c r="M1228" i="1"/>
  <c r="M1272" i="1"/>
  <c r="M1326" i="1"/>
  <c r="B512" i="1"/>
  <c r="M474" i="1"/>
  <c r="B1226" i="1"/>
  <c r="M1181" i="1"/>
  <c r="B250" i="1"/>
  <c r="M217" i="1"/>
  <c r="B215" i="1"/>
  <c r="M165" i="1"/>
  <c r="M85" i="1"/>
  <c r="M335" i="1"/>
  <c r="M554" i="1"/>
  <c r="M592" i="1"/>
  <c r="M632" i="1"/>
  <c r="M670" i="1"/>
  <c r="M709" i="1"/>
  <c r="M749" i="1"/>
  <c r="M793" i="1"/>
  <c r="M904" i="1"/>
  <c r="M831" i="1"/>
  <c r="M950" i="1"/>
  <c r="M869" i="1"/>
  <c r="M993" i="1"/>
  <c r="M125" i="1"/>
  <c r="B948" i="1"/>
  <c r="B1432" i="1"/>
  <c r="B1378" i="1"/>
  <c r="B1324" i="1"/>
  <c r="B1270" i="1"/>
  <c r="B163" i="1"/>
  <c r="B1040" i="1"/>
  <c r="B902" i="1"/>
  <c r="B991" i="1"/>
  <c r="B867" i="1"/>
  <c r="B829" i="1"/>
  <c r="B791" i="1"/>
  <c r="B747" i="1"/>
  <c r="B707" i="1"/>
  <c r="B668" i="1"/>
  <c r="B630" i="1"/>
  <c r="B590" i="1"/>
  <c r="B382" i="1"/>
  <c r="B124" i="1" l="1"/>
</calcChain>
</file>

<file path=xl/sharedStrings.xml><?xml version="1.0" encoding="utf-8"?>
<sst xmlns="http://schemas.openxmlformats.org/spreadsheetml/2006/main" count="2353" uniqueCount="810">
  <si>
    <t>列</t>
  </si>
  <si>
    <t>内容</t>
  </si>
  <si>
    <t>項目名</t>
  </si>
  <si>
    <t>日本語</t>
  </si>
  <si>
    <t>データ型</t>
  </si>
  <si>
    <t>PK</t>
  </si>
  <si>
    <t>主キーか</t>
  </si>
  <si>
    <t>FK</t>
  </si>
  <si>
    <t>外部キーか</t>
  </si>
  <si>
    <t>NOT NULL</t>
  </si>
  <si>
    <t>必須項目か</t>
  </si>
  <si>
    <t>UNIQUE</t>
  </si>
  <si>
    <t>重複不可か</t>
  </si>
  <si>
    <t>DEFAULT</t>
  </si>
  <si>
    <t>初期値</t>
  </si>
  <si>
    <t>参照先</t>
  </si>
  <si>
    <t>employees.id など</t>
  </si>
  <si>
    <t>備考</t>
  </si>
  <si>
    <t>列挙値、計算方法など</t>
  </si>
  <si>
    <t>※単一列のUNIQUEではなく、必要に応じて複合UNIQUEを考えます。</t>
  </si>
  <si>
    <t>例：</t>
  </si>
  <si>
    <t>テーブル名</t>
  </si>
  <si>
    <t>論理名</t>
  </si>
  <si>
    <t>目的</t>
  </si>
  <si>
    <t>主キー</t>
  </si>
  <si>
    <t>id</t>
  </si>
  <si>
    <t>参照されるテーブル</t>
  </si>
  <si>
    <t>必須</t>
  </si>
  <si>
    <t>ID</t>
  </si>
  <si>
    <t>INTEGER</t>
  </si>
  <si>
    <t>〇</t>
  </si>
  <si>
    <t>TEXT</t>
  </si>
  <si>
    <t>name</t>
  </si>
  <si>
    <t>DATE</t>
  </si>
  <si>
    <t>created_at</t>
  </si>
  <si>
    <t>作成日時</t>
  </si>
  <si>
    <t>DATETIME</t>
  </si>
  <si>
    <t>CURRENT_TIMESTAMP</t>
  </si>
  <si>
    <t>updated_at</t>
  </si>
  <si>
    <t>更新日時</t>
  </si>
  <si>
    <t>valid_from</t>
  </si>
  <si>
    <t>valid_to</t>
  </si>
  <si>
    <t>BOOLEAN</t>
  </si>
  <si>
    <t>effective_from</t>
  </si>
  <si>
    <t>effective_to</t>
  </si>
  <si>
    <t>notes</t>
  </si>
  <si>
    <t>document_type</t>
  </si>
  <si>
    <t>重複</t>
  </si>
  <si>
    <t>〇:「重複不可」、×:「重複可」</t>
    <phoneticPr fontId="7"/>
  </si>
  <si>
    <t>設計時考慮点</t>
  </si>
  <si>
    <t>SQLAlchemyのonupdateで更新</t>
  </si>
  <si>
    <t>主な定義項目</t>
    <phoneticPr fontId="7"/>
  </si>
  <si>
    <t>テーブル一覧</t>
    <phoneticPr fontId="7"/>
  </si>
  <si>
    <t>改訂履歴</t>
    <phoneticPr fontId="7"/>
  </si>
  <si>
    <t>Ver1.0</t>
  </si>
  <si>
    <t>初版</t>
  </si>
  <si>
    <t>有効フラグ</t>
  </si>
  <si>
    <t>is_active</t>
  </si>
  <si>
    <t>source_url</t>
  </si>
  <si>
    <t>出典URL</t>
  </si>
  <si>
    <t>published_date</t>
  </si>
  <si>
    <t>適用開始日</t>
  </si>
  <si>
    <t>適用終了日</t>
  </si>
  <si>
    <t>ENMAテーブル設計書</t>
    <phoneticPr fontId="7"/>
  </si>
  <si>
    <t>2026/09/16</t>
    <phoneticPr fontId="7"/>
  </si>
  <si>
    <t>※</t>
    <phoneticPr fontId="7"/>
  </si>
  <si>
    <t>projects</t>
  </si>
  <si>
    <t>案件</t>
  </si>
  <si>
    <t>standard_documents</t>
  </si>
  <si>
    <t>fluids</t>
  </si>
  <si>
    <t>流体マスタ</t>
  </si>
  <si>
    <t>pipe_materials</t>
  </si>
  <si>
    <t>管材マスタ</t>
  </si>
  <si>
    <t>pipe_standards</t>
  </si>
  <si>
    <t>管規格マスタ</t>
  </si>
  <si>
    <t>pipe_sizes</t>
  </si>
  <si>
    <t>管サイズマスタ</t>
  </si>
  <si>
    <t>insulation_types</t>
  </si>
  <si>
    <t>保温種別マスタ</t>
  </si>
  <si>
    <t>painting_types</t>
  </si>
  <si>
    <t>塗装種別マスタ</t>
  </si>
  <si>
    <t>insulation_rules</t>
  </si>
  <si>
    <t>painting_rules</t>
  </si>
  <si>
    <t>worker_types</t>
  </si>
  <si>
    <t>calculation_runs</t>
  </si>
  <si>
    <t>その案件で「どの年度版を使うか」を決める起点</t>
  </si>
  <si>
    <t>code</t>
  </si>
  <si>
    <t>案件コード</t>
  </si>
  <si>
    <t>案件名</t>
  </si>
  <si>
    <t>description</t>
  </si>
  <si>
    <t>案件説明</t>
  </si>
  <si>
    <t>design_date</t>
  </si>
  <si>
    <t>設計基準日</t>
  </si>
  <si>
    <t>construction_start_date</t>
  </si>
  <si>
    <t>工事開始予定日</t>
  </si>
  <si>
    <t>construction_end_date</t>
  </si>
  <si>
    <t>工事完了予定日</t>
  </si>
  <si>
    <t>ifc_file_name</t>
  </si>
  <si>
    <t>IFCファイル名</t>
  </si>
  <si>
    <t>※document_type</t>
  </si>
  <si>
    <t>案件ID</t>
  </si>
  <si>
    <t>案件ID</t>
    <phoneticPr fontId="7"/>
  </si>
  <si>
    <t>基準文書ID</t>
  </si>
  <si>
    <t>文書コード</t>
  </si>
  <si>
    <t>文書種別</t>
  </si>
  <si>
    <t>title</t>
  </si>
  <si>
    <t>文書名称</t>
  </si>
  <si>
    <t>publisher</t>
  </si>
  <si>
    <t>edition_year</t>
  </si>
  <si>
    <t>版年度</t>
  </si>
  <si>
    <t>edition_name</t>
  </si>
  <si>
    <t>版名称</t>
  </si>
  <si>
    <t>revision</t>
  </si>
  <si>
    <t>改訂・修補情報</t>
  </si>
  <si>
    <t>発行日</t>
  </si>
  <si>
    <t>source_file</t>
  </si>
  <si>
    <t>原典ファイル名</t>
  </si>
  <si>
    <t>source_hash</t>
  </si>
  <si>
    <t>原典ハッシュ値</t>
  </si>
  <si>
    <t>project_id</t>
  </si>
  <si>
    <t>standard_document_id</t>
  </si>
  <si>
    <t>application_type</t>
  </si>
  <si>
    <t>適用区分</t>
  </si>
  <si>
    <t>priority</t>
  </si>
  <si>
    <t>effective_date</t>
  </si>
  <si>
    <t>案件適用日</t>
  </si>
  <si>
    <t>specified_by</t>
  </si>
  <si>
    <t>指定根拠</t>
  </si>
  <si>
    <t>remarks</t>
  </si>
  <si>
    <t>CHW</t>
  </si>
  <si>
    <t>冷温水</t>
  </si>
  <si>
    <t>CW</t>
  </si>
  <si>
    <t>冷水</t>
  </si>
  <si>
    <t>HW</t>
  </si>
  <si>
    <t>温水</t>
  </si>
  <si>
    <t>W</t>
  </si>
  <si>
    <t>上水</t>
  </si>
  <si>
    <t>D</t>
  </si>
  <si>
    <t>排水</t>
  </si>
  <si>
    <t>V</t>
  </si>
  <si>
    <t>通気</t>
  </si>
  <si>
    <t>R</t>
  </si>
  <si>
    <t>冷媒</t>
  </si>
  <si>
    <t>O</t>
  </si>
  <si>
    <t>油</t>
  </si>
  <si>
    <t>※例えば</t>
    <rPh sb="1" eb="2">
      <t>タト</t>
    </rPh>
    <phoneticPr fontId="7"/>
  </si>
  <si>
    <t>IfcDistributionSystem と流体は別物としておくため</t>
    <phoneticPr fontId="7"/>
  </si>
  <si>
    <t>流体ID</t>
  </si>
  <si>
    <t>流体コード</t>
  </si>
  <si>
    <t>流体名</t>
  </si>
  <si>
    <t>category</t>
  </si>
  <si>
    <t>流体分類</t>
  </si>
  <si>
    <t>説明</t>
  </si>
  <si>
    <t>bsdd_uri</t>
  </si>
  <si>
    <t>bSDD URI</t>
  </si>
  <si>
    <t>ifc_system_type</t>
  </si>
  <si>
    <t>IFC系統分類</t>
  </si>
  <si>
    <t>display_order</t>
  </si>
  <si>
    <t>表示順</t>
  </si>
  <si>
    <t>※候補は、</t>
    <phoneticPr fontId="7"/>
  </si>
  <si>
    <t>INDOOR_EXPOSED</t>
  </si>
  <si>
    <t>屋内露出</t>
  </si>
  <si>
    <t>CEILING_VOID</t>
  </si>
  <si>
    <t>天井内</t>
  </si>
  <si>
    <t>SHAFT</t>
  </si>
  <si>
    <t>PS・シャフト内</t>
  </si>
  <si>
    <t>MACHINE_ROOM</t>
  </si>
  <si>
    <t>機械室</t>
  </si>
  <si>
    <t>PIT</t>
  </si>
  <si>
    <t>ピット内</t>
  </si>
  <si>
    <t>OUTDOOR_EXPOSED</t>
  </si>
  <si>
    <t>屋外露出</t>
  </si>
  <si>
    <t>UNDERGROUND</t>
  </si>
  <si>
    <t>地中</t>
  </si>
  <si>
    <t>保温・塗装・歩掛の重要な条件。</t>
  </si>
  <si>
    <t>施工箇所ID</t>
  </si>
  <si>
    <t>施工箇所コード</t>
  </si>
  <si>
    <t>施工箇所名</t>
  </si>
  <si>
    <t>施工箇所分類</t>
  </si>
  <si>
    <t>※例えば SGP / SUS / CU / VP / VU 等を想定</t>
  </si>
  <si>
    <t>管材ID</t>
  </si>
  <si>
    <t>管材コード</t>
  </si>
  <si>
    <t>管材名</t>
  </si>
  <si>
    <t>short_name</t>
  </si>
  <si>
    <t>略称</t>
  </si>
  <si>
    <t>material_category</t>
  </si>
  <si>
    <t>材質分類</t>
  </si>
  <si>
    <t>JIS等の規格と管材を関連付ける</t>
  </si>
  <si>
    <t>管規格ID</t>
  </si>
  <si>
    <t>pipe_material_id</t>
  </si>
  <si>
    <t>standard_code</t>
  </si>
  <si>
    <t>規格番号</t>
  </si>
  <si>
    <t>standard_name</t>
  </si>
  <si>
    <t>規格名称</t>
  </si>
  <si>
    <t>application</t>
  </si>
  <si>
    <t>用途</t>
  </si>
  <si>
    <t>SGP → JIS G 3452</t>
  </si>
  <si>
    <t>銅管 → JIS H 3300</t>
  </si>
  <si>
    <t>という関係</t>
    <rPh sb="3" eb="5">
      <t>カンケイ</t>
    </rPh>
    <phoneticPr fontId="7"/>
  </si>
  <si>
    <t>JIS G 3452 / SGP / 50A / 2 / 60.5</t>
  </si>
  <si>
    <t>というレコード</t>
  </si>
  <si>
    <t>OuterDiameter → 呼び径 の核心</t>
  </si>
  <si>
    <t>管サイズID</t>
  </si>
  <si>
    <t>pipe_standard_id</t>
  </si>
  <si>
    <t>nominal_a</t>
  </si>
  <si>
    <t>呼び径A</t>
  </si>
  <si>
    <t>nominal_b</t>
  </si>
  <si>
    <t>呼び径B</t>
  </si>
  <si>
    <t>common_name</t>
  </si>
  <si>
    <t>俗称</t>
  </si>
  <si>
    <t>outer_diameter_mm</t>
  </si>
  <si>
    <t>外径mm</t>
  </si>
  <si>
    <t>REAL</t>
  </si>
  <si>
    <t>wall_thickness_mm</t>
  </si>
  <si>
    <t>肉厚mm</t>
  </si>
  <si>
    <t>inner_diameter_mm</t>
  </si>
  <si>
    <t>内径mm</t>
  </si>
  <si>
    <t>schedule</t>
  </si>
  <si>
    <t>スケジュール</t>
  </si>
  <si>
    <t>ENMA内部ID</t>
  </si>
  <si>
    <t>保温種別ID</t>
  </si>
  <si>
    <t>保温種別コード</t>
  </si>
  <si>
    <t>保温種別名</t>
  </si>
  <si>
    <t>material_name</t>
  </si>
  <si>
    <t>保温材料名</t>
  </si>
  <si>
    <t>finish_name</t>
  </si>
  <si>
    <t>外装材名</t>
  </si>
  <si>
    <t>保温適用ルールID</t>
  </si>
  <si>
    <t>適用基準文書ID</t>
  </si>
  <si>
    <t>fluid_id</t>
  </si>
  <si>
    <t>work_location_id</t>
  </si>
  <si>
    <t>最小呼び径</t>
  </si>
  <si>
    <t>最大呼び径</t>
  </si>
  <si>
    <t>insulation_type_id</t>
  </si>
  <si>
    <t>insulation_thickness_mm</t>
  </si>
  <si>
    <t>保温厚mm</t>
  </si>
  <si>
    <t>quantity_unit</t>
  </si>
  <si>
    <t>数量単位</t>
  </si>
  <si>
    <t>source_table</t>
  </si>
  <si>
    <t>原典表番号</t>
  </si>
  <si>
    <t>source_page</t>
  </si>
  <si>
    <t>原典ページ</t>
  </si>
  <si>
    <t>IfcCoveringを必須にしなくてもよいというPoCにつながる。</t>
  </si>
  <si>
    <t>塗装種別ID</t>
  </si>
  <si>
    <t>塗装種別コード</t>
  </si>
  <si>
    <t>塗装種別名</t>
  </si>
  <si>
    <t>paint_system</t>
  </si>
  <si>
    <t>塗装系</t>
  </si>
  <si>
    <t>coat_count</t>
  </si>
  <si>
    <t>塗装回数</t>
  </si>
  <si>
    <t>塗装適用ルールID</t>
  </si>
  <si>
    <t>painting_type_id</t>
  </si>
  <si>
    <t>※例えば 配管工 / 保温工 / 塗装工 など</t>
    <phoneticPr fontId="7"/>
  </si>
  <si>
    <t>職種ID</t>
  </si>
  <si>
    <t>職種コード</t>
  </si>
  <si>
    <t>職種名</t>
  </si>
  <si>
    <t>標準歩掛ID</t>
  </si>
  <si>
    <t>work_type</t>
  </si>
  <si>
    <t>工種</t>
  </si>
  <si>
    <t>worker_type_id</t>
  </si>
  <si>
    <t>pipe_size_id</t>
  </si>
  <si>
    <t>labor_unit</t>
  </si>
  <si>
    <t>労務単位</t>
  </si>
  <si>
    <t>labor_quantity</t>
  </si>
  <si>
    <t>標準歩掛</t>
  </si>
  <si>
    <t>「何を根拠に計算したのか」を残すマスタ。</t>
  </si>
  <si>
    <t>積算実行ID</t>
  </si>
  <si>
    <t>run_name</t>
  </si>
  <si>
    <t>積算実行名称</t>
  </si>
  <si>
    <t>設備IFCファイル名</t>
  </si>
  <si>
    <t>architecture_ifc_file_name</t>
  </si>
  <si>
    <t>建築IFCファイル名</t>
  </si>
  <si>
    <t>ifc_hash</t>
  </si>
  <si>
    <t>設備IFCハッシュ値</t>
  </si>
  <si>
    <t>architecture_ifc_hash</t>
  </si>
  <si>
    <t>建築IFCハッシュ値</t>
  </si>
  <si>
    <t>calculated_at</t>
  </si>
  <si>
    <t>計算日時</t>
  </si>
  <si>
    <t>program_version</t>
  </si>
  <si>
    <t>ENMAバージョン</t>
  </si>
  <si>
    <t>git_commit</t>
  </si>
  <si>
    <t>GitコミットID</t>
  </si>
  <si>
    <t>P10-01</t>
  </si>
  <si>
    <t>P20-01</t>
  </si>
  <si>
    <t>P30-01</t>
  </si>
  <si>
    <t>IFC要素</t>
  </si>
  <si>
    <t>P30-02</t>
  </si>
  <si>
    <t>element_properties</t>
  </si>
  <si>
    <t>要素プロパティ</t>
  </si>
  <si>
    <t>human_reviews</t>
  </si>
  <si>
    <t>S10-01</t>
  </si>
  <si>
    <t>S20-01</t>
  </si>
  <si>
    <t>specification_sets</t>
  </si>
  <si>
    <t>S30-01</t>
  </si>
  <si>
    <t>M10-01</t>
  </si>
  <si>
    <t>M10-02</t>
  </si>
  <si>
    <t>施工場所マスタ</t>
  </si>
  <si>
    <t>M21-01</t>
  </si>
  <si>
    <t>M21-02</t>
  </si>
  <si>
    <t>M21-03</t>
  </si>
  <si>
    <t>M31-01</t>
  </si>
  <si>
    <t>M32-01</t>
  </si>
  <si>
    <t>M50-01</t>
  </si>
  <si>
    <t>R10-01</t>
  </si>
  <si>
    <t>保温判定ルール</t>
  </si>
  <si>
    <t>R20-01</t>
  </si>
  <si>
    <t>塗装判定ルール</t>
  </si>
  <si>
    <t>R30-01</t>
  </si>
  <si>
    <t>labor_productivity_rules</t>
  </si>
  <si>
    <t>歩掛・労務ルール</t>
  </si>
  <si>
    <t>O10-01</t>
  </si>
  <si>
    <t>element_quantity_results</t>
  </si>
  <si>
    <t>要素別積算結果</t>
  </si>
  <si>
    <t>O20-01</t>
  </si>
  <si>
    <t>quantity_summaries</t>
  </si>
  <si>
    <t>集計結果</t>
  </si>
  <si>
    <t>O30-01</t>
  </si>
  <si>
    <t>calculation_evidence</t>
  </si>
  <si>
    <t>計算根拠</t>
  </si>
  <si>
    <t>global_id</t>
  </si>
  <si>
    <t>IFC GlobalId</t>
  </si>
  <si>
    <t>ifc_class</t>
  </si>
  <si>
    <t>IFCクラス</t>
  </si>
  <si>
    <t>IFC名称</t>
  </si>
  <si>
    <t>system_name</t>
  </si>
  <si>
    <t>系統名</t>
  </si>
  <si>
    <t>storey_name</t>
  </si>
  <si>
    <t>階名</t>
  </si>
  <si>
    <t>space_name</t>
  </si>
  <si>
    <t>Space名</t>
  </si>
  <si>
    <t>length_m</t>
  </si>
  <si>
    <t>長さm</t>
  </si>
  <si>
    <t>confidence</t>
  </si>
  <si>
    <t>信頼度</t>
  </si>
  <si>
    <t>review_status</t>
  </si>
  <si>
    <t>確認状態</t>
  </si>
  <si>
    <t>reviewed_at</t>
  </si>
  <si>
    <t>確認日時</t>
  </si>
  <si>
    <t>〇</t>
    <phoneticPr fontId="7"/>
  </si>
  <si>
    <t>nominal_a_min</t>
  </si>
  <si>
    <t>nominal_a_max</t>
  </si>
  <si>
    <t>calculation_run_id</t>
  </si>
  <si>
    <t>ifc_element_id</t>
  </si>
  <si>
    <t>pset_name</t>
  </si>
  <si>
    <t>property_name</t>
  </si>
  <si>
    <t>property_value</t>
  </si>
  <si>
    <t>property_type</t>
  </si>
  <si>
    <t>source</t>
  </si>
  <si>
    <t>〇</t>
    <phoneticPr fontId="7"/>
  </si>
  <si>
    <t>要素プロパティID</t>
    <rPh sb="0" eb="2">
      <t>ヨウソ</t>
    </rPh>
    <phoneticPr fontId="7"/>
  </si>
  <si>
    <t>IfcElement = 52</t>
  </si>
  <si>
    <t>Pset = Pset_xxx</t>
  </si>
  <si>
    <t>Property = NominalDiameter</t>
  </si>
  <si>
    <t>Value = 50</t>
  </si>
  <si>
    <t>Type = IfcLengthMeasure</t>
  </si>
  <si>
    <t>Source = IFC</t>
  </si>
  <si>
    <t>ENMA内部ID　例　123</t>
    <rPh sb="9" eb="10">
      <t>レイ</t>
    </rPh>
    <phoneticPr fontId="7"/>
  </si>
  <si>
    <t>※IFC生Propertyの証拠保管庫として縦持ちにする考え方を採用</t>
    <phoneticPr fontId="7"/>
  </si>
  <si>
    <t>candidate_value</t>
  </si>
  <si>
    <t>confirmed_value</t>
  </si>
  <si>
    <t>review_type</t>
  </si>
  <si>
    <t>1 1/4</t>
    <phoneticPr fontId="7"/>
  </si>
  <si>
    <t>クォータ</t>
    <phoneticPr fontId="7"/>
  </si>
  <si>
    <t>職種マスタ</t>
    <rPh sb="0" eb="1">
      <t>ショク</t>
    </rPh>
    <phoneticPr fontId="7"/>
  </si>
  <si>
    <t>職種マスタ</t>
    <rPh sb="0" eb="2">
      <t>ショクシュ</t>
    </rPh>
    <phoneticPr fontId="7"/>
  </si>
  <si>
    <t>最終的に数量から人工を算出する中心のEngineering Rule</t>
  </si>
  <si>
    <t>情報源</t>
  </si>
  <si>
    <t>IFC要素ID</t>
  </si>
  <si>
    <t>TEXT</t>
    <phoneticPr fontId="7"/>
  </si>
  <si>
    <t>プロパティセット名</t>
  </si>
  <si>
    <t>プロパティ名</t>
  </si>
  <si>
    <t>プロパティ値</t>
  </si>
  <si>
    <t>プロパティ型</t>
  </si>
  <si>
    <t>確認種別</t>
  </si>
  <si>
    <t>適用優先順位</t>
  </si>
  <si>
    <t>技術者確認履歴</t>
  </si>
  <si>
    <t>仕様セット</t>
  </si>
  <si>
    <t>積算実行履歴</t>
    <phoneticPr fontId="7"/>
  </si>
  <si>
    <t>projects.id</t>
  </si>
  <si>
    <t>fluids.id</t>
  </si>
  <si>
    <t>pipe_sizes.id</t>
  </si>
  <si>
    <t>pipe_materials.id</t>
  </si>
  <si>
    <t>ifc_elements.id</t>
  </si>
  <si>
    <t>work_locations.id</t>
  </si>
  <si>
    <t>技術者確認履歴ID</t>
  </si>
  <si>
    <t>standard_documents.id</t>
  </si>
  <si>
    <t>pipe_standards.id</t>
  </si>
  <si>
    <t>insulation_types.id</t>
  </si>
  <si>
    <t>standard_documents.id</t>
    <phoneticPr fontId="7"/>
  </si>
  <si>
    <t>painting_types.id</t>
  </si>
  <si>
    <t>worker_types.id</t>
  </si>
  <si>
    <t>pipe_sizes.id</t>
    <phoneticPr fontId="7"/>
  </si>
  <si>
    <t>案件積算実行履歴</t>
    <phoneticPr fontId="7"/>
  </si>
  <si>
    <t>積算実行履歴</t>
    <phoneticPr fontId="7"/>
  </si>
  <si>
    <t>IFC要素</t>
    <phoneticPr fontId="7"/>
  </si>
  <si>
    <t>要素プロパティ</t>
    <phoneticPr fontId="7"/>
  </si>
  <si>
    <t>技術者確認履歴</t>
    <phoneticPr fontId="7"/>
  </si>
  <si>
    <t>S20-02</t>
    <phoneticPr fontId="7"/>
  </si>
  <si>
    <t>仕様セット構成</t>
  </si>
  <si>
    <t>案件適用仕様</t>
  </si>
  <si>
    <t>案件適用仕様</t>
    <phoneticPr fontId="7"/>
  </si>
  <si>
    <t>specification_set_items</t>
  </si>
  <si>
    <t>仕様セット構成</t>
    <phoneticPr fontId="7"/>
  </si>
  <si>
    <t>仕様セット</t>
    <phoneticPr fontId="7"/>
  </si>
  <si>
    <t>project_specifications</t>
  </si>
  <si>
    <t>○</t>
  </si>
  <si>
    <t>基準文書</t>
    <rPh sb="0" eb="2">
      <t>キジュンン</t>
    </rPh>
    <rPh sb="2" eb="4">
      <t>ブンショ</t>
    </rPh>
    <phoneticPr fontId="7"/>
  </si>
  <si>
    <t>基準文書</t>
    <rPh sb="0" eb="2">
      <t>キジュン</t>
    </rPh>
    <rPh sb="2" eb="4">
      <t>ブンショ</t>
    </rPh>
    <phoneticPr fontId="7"/>
  </si>
  <si>
    <t>仕様セットID</t>
  </si>
  <si>
    <t>仕様セットコード</t>
  </si>
  <si>
    <t>仕様セット名称</t>
  </si>
  <si>
    <t>仕様セット説明</t>
  </si>
  <si>
    <t>version</t>
  </si>
  <si>
    <t>仕様セット版</t>
  </si>
  <si>
    <t>仕様セット構成ID</t>
  </si>
  <si>
    <t>specification_set_id</t>
  </si>
  <si>
    <t>◯</t>
  </si>
  <si>
    <t>specification_sets.id</t>
  </si>
  <si>
    <t>application_scope</t>
  </si>
  <si>
    <t>適用範囲</t>
  </si>
  <si>
    <t>reference_section</t>
  </si>
  <si>
    <t>参照箇所</t>
  </si>
  <si>
    <t>案件適用仕様ID</t>
  </si>
  <si>
    <t>specification_sets.id</t>
    <phoneticPr fontId="7"/>
  </si>
  <si>
    <t>※複数の基準文書を、特定の目的・年度・適用条件に応じた一つの仕様セットとして管理する。</t>
    <phoneticPr fontId="7"/>
  </si>
  <si>
    <t>※個々の原典との関係は specification_set_items で管理し、案件への適用は project_specifications で管理する。</t>
    <phoneticPr fontId="7"/>
  </si>
  <si>
    <t>◯</t>
    <phoneticPr fontId="7"/>
  </si>
  <si>
    <t>※priorityはSQLの ORDER BY priority ASC でそのまま使えることを考慮し、数値が小さいほど優先</t>
    <phoneticPr fontId="7"/>
  </si>
  <si>
    <t>数値が小さいほど優先</t>
  </si>
  <si>
    <t>ifc_elements</t>
    <phoneticPr fontId="7"/>
  </si>
  <si>
    <t>積算実行履歴ID</t>
  </si>
  <si>
    <t>calculation_runs.id</t>
  </si>
  <si>
    <t>必須追加</t>
    <rPh sb="0" eb="2">
      <t>ヒッス</t>
    </rPh>
    <rPh sb="2" eb="4">
      <t>ツイカ</t>
    </rPh>
    <phoneticPr fontId="9"/>
  </si>
  <si>
    <t>IFC事実  IFCとの鍵</t>
  </si>
  <si>
    <t>IFC事実 IfcPipeSegment等</t>
  </si>
  <si>
    <t>IFC事実</t>
  </si>
  <si>
    <t>object_type</t>
  </si>
  <si>
    <t>IFCオブジェクトタイプ</t>
  </si>
  <si>
    <t>predefined_type</t>
  </si>
  <si>
    <t>IFC定義済みタイプ</t>
  </si>
  <si>
    <t>system_predefined_type</t>
  </si>
  <si>
    <t>IFC系統定義済みタイプ</t>
  </si>
  <si>
    <t>ENMA正規化</t>
  </si>
  <si>
    <t>outer_surface_area_m2</t>
  </si>
  <si>
    <t>外表面積㎡</t>
  </si>
  <si>
    <t>ifc_material_name</t>
  </si>
  <si>
    <t>IFC材質名</t>
  </si>
  <si>
    <t>追加・IFC事実</t>
  </si>
  <si>
    <t>IFCポート接続</t>
  </si>
  <si>
    <t>IFCポート</t>
    <phoneticPr fontId="7"/>
  </si>
  <si>
    <t>ifc_ports</t>
  </si>
  <si>
    <t>ifc_port_connections</t>
  </si>
  <si>
    <t>P30-03</t>
  </si>
  <si>
    <t>P30-04</t>
  </si>
  <si>
    <t>P30-03</t>
    <phoneticPr fontId="7"/>
  </si>
  <si>
    <t>P30-04</t>
    <phoneticPr fontId="7"/>
  </si>
  <si>
    <t>IFCポートID</t>
  </si>
  <si>
    <t>ifc_step_id</t>
  </si>
  <si>
    <t>IFC STEP ID</t>
  </si>
  <si>
    <t>IFC内の #90607 等</t>
  </si>
  <si>
    <t>存在する場合</t>
  </si>
  <si>
    <t>IFCポート名称</t>
  </si>
  <si>
    <t>IFCポート説明</t>
  </si>
  <si>
    <t>flow_direction</t>
  </si>
  <si>
    <t>流れ方向</t>
  </si>
  <si>
    <t>SOURCE / SINK / SOURCEANDSINK 等</t>
  </si>
  <si>
    <t>system_type</t>
  </si>
  <si>
    <t>IFC系統タイプ</t>
  </si>
  <si>
    <t>IFCに存在する場合</t>
  </si>
  <si>
    <t>nominal_diameter_mm</t>
  </si>
  <si>
    <t>呼称径情報mm</t>
  </si>
  <si>
    <t>Portに明示されている場合</t>
  </si>
  <si>
    <t>IFCポート接続ID</t>
  </si>
  <si>
    <t>rel_global_id</t>
  </si>
  <si>
    <t>IFC接続関係GlobalId</t>
  </si>
  <si>
    <t>IfcRelConnectsPorts のGlobalId</t>
  </si>
  <si>
    <t>relating_port_id</t>
  </si>
  <si>
    <t>接続元ポートID</t>
  </si>
  <si>
    <t>ifc_ports.id</t>
  </si>
  <si>
    <t>related_port_id</t>
  </si>
  <si>
    <t>接続先ポートID</t>
  </si>
  <si>
    <t>connection_type</t>
  </si>
  <si>
    <t>接続種別</t>
  </si>
  <si>
    <t>IfcRelConnectsPorts 等</t>
  </si>
  <si>
    <t>「どことどこがつながっているか」Port同士の情報を保存</t>
  </si>
  <si>
    <t>work_locations</t>
    <phoneticPr fontId="7"/>
  </si>
  <si>
    <t>ifcファイル該当品目のポート情報を保存する</t>
    <rPh sb="7" eb="9">
      <t>ガイトウ</t>
    </rPh>
    <rPh sb="9" eb="11">
      <t>ヒンモク</t>
    </rPh>
    <rPh sb="15" eb="17">
      <t>ジョウホウ</t>
    </rPh>
    <rPh sb="18" eb="20">
      <t>ホゾン</t>
    </rPh>
    <phoneticPr fontId="7"/>
  </si>
  <si>
    <t xml:space="preserve">IFC STEP ID </t>
  </si>
  <si>
    <t>ifc_step_id</t>
    <phoneticPr fontId="7"/>
  </si>
  <si>
    <t>IFCポート接続</t>
    <rPh sb="6" eb="8">
      <t>セツゾク</t>
    </rPh>
    <phoneticPr fontId="7"/>
  </si>
  <si>
    <t>IFCファイル内の #511 等</t>
  </si>
  <si>
    <t>※IfcDistributionPortをIFC要素とは別に保存する。idはENMA内部ID、ifc_step_idはIFCファイル内のSTEP IDとし区別する。</t>
  </si>
  <si>
    <t>※Port単位の径・流れ方向等を保持し、継手・レジューサ・T等の接続解析に利用する。</t>
  </si>
  <si>
    <t>※要素同士ではなくPort同士の接続関係を保存する。接続要素は ifc_ports.ifc_element_id を経由して取得し、重複保持しない。</t>
  </si>
  <si>
    <t>※source は IFCからの取得情報が入る</t>
    <rPh sb="16" eb="18">
      <t>シュトク</t>
    </rPh>
    <rPh sb="18" eb="20">
      <t>ジョウホウ</t>
    </rPh>
    <phoneticPr fontId="7"/>
  </si>
  <si>
    <t>　</t>
    <phoneticPr fontId="7"/>
  </si>
  <si>
    <t>document_number</t>
  </si>
  <si>
    <t>文書番号</t>
    <phoneticPr fontId="7"/>
  </si>
  <si>
    <t>(例)MLIT_MEP_STD_2025</t>
  </si>
  <si>
    <t>(例)STANDARD_SPECIFICATION</t>
  </si>
  <si>
    <t>(例)公共建築工事標準仕様書(機械設備工事編)</t>
  </si>
  <si>
    <t>(例)国土交通省大臣官房官庁営繕部</t>
  </si>
  <si>
    <t>(例)(原典記載の文書番号)</t>
  </si>
  <si>
    <t>(例)2025</t>
  </si>
  <si>
    <t>(例)令和7年版</t>
  </si>
  <si>
    <t>(例)(修補版の発行日)</t>
  </si>
  <si>
    <t>(例)修補版</t>
  </si>
  <si>
    <t>(例)国土交通省公式URL</t>
  </si>
  <si>
    <t>(例)SHA-256等</t>
  </si>
  <si>
    <t>(例)001967513.pdf</t>
  </si>
  <si>
    <t>制定・発行主体</t>
  </si>
  <si>
    <t>issuer</t>
    <phoneticPr fontId="7"/>
  </si>
  <si>
    <t>S10-02</t>
  </si>
  <si>
    <t>standard_provisions</t>
  </si>
  <si>
    <t>基準規定</t>
  </si>
  <si>
    <t>基準規定ID</t>
  </si>
  <si>
    <t>(例)R7修補版</t>
  </si>
  <si>
    <t>provision_code</t>
  </si>
  <si>
    <t>規定コード</t>
  </si>
  <si>
    <t>(例)TABLE_2_3_7</t>
  </si>
  <si>
    <t>provision_type</t>
  </si>
  <si>
    <t>規定種別</t>
  </si>
  <si>
    <t>(例)TABLE / SECTION / PARAGRAPH</t>
  </si>
  <si>
    <t>section_no</t>
  </si>
  <si>
    <t>節番号</t>
  </si>
  <si>
    <t>(例)2.3など</t>
  </si>
  <si>
    <t>table_no</t>
  </si>
  <si>
    <t>表番号</t>
  </si>
  <si>
    <t>(例)表2.3.7</t>
  </si>
  <si>
    <t>規定名称</t>
  </si>
  <si>
    <t>(例)保温材の厚さ</t>
  </si>
  <si>
    <t>(例)PDFページ等</t>
  </si>
  <si>
    <t>source_text</t>
  </si>
  <si>
    <t>原典記載内容</t>
  </si>
  <si>
    <t>(例)原典の文章・表の説明</t>
  </si>
  <si>
    <t>exception_text</t>
  </si>
  <si>
    <t>例外・特記事項</t>
  </si>
  <si>
    <t>(例)寒冷地等の場合は特記による旨</t>
  </si>
  <si>
    <t>S10-03</t>
  </si>
  <si>
    <t>structured_specification_rules</t>
  </si>
  <si>
    <t>構造化仕様規則</t>
  </si>
  <si>
    <t>構造化仕様規則ID</t>
  </si>
  <si>
    <t>standard_provision_id</t>
  </si>
  <si>
    <t>standard_provisions.id</t>
  </si>
  <si>
    <t>sequence_no</t>
  </si>
  <si>
    <t>明細順序</t>
  </si>
  <si>
    <t>(例)原典表の順序</t>
  </si>
  <si>
    <t>rule_category</t>
  </si>
  <si>
    <t>規則区分</t>
  </si>
  <si>
    <t>(例)PIPE_MATERIAL / INSULATION_THICKNESS</t>
  </si>
  <si>
    <t>適用対象</t>
  </si>
  <si>
    <t>(例)冷温水管</t>
  </si>
  <si>
    <t>condition_1</t>
  </si>
  <si>
    <t>条件1</t>
  </si>
  <si>
    <t>(例)保温種別Ⅲ</t>
  </si>
  <si>
    <t>condition_2</t>
  </si>
  <si>
    <t>条件2</t>
  </si>
  <si>
    <t>(例)保温材ア</t>
  </si>
  <si>
    <t>condition_3</t>
  </si>
  <si>
    <t>条件3</t>
  </si>
  <si>
    <t>(例)呼び径50A</t>
  </si>
  <si>
    <t>result_value</t>
  </si>
  <si>
    <t>規定値</t>
  </si>
  <si>
    <t>(例)40</t>
  </si>
  <si>
    <t>result_unit</t>
  </si>
  <si>
    <t>規定値単位</t>
  </si>
  <si>
    <t>(例)mm</t>
  </si>
  <si>
    <t>source_cell_reference</t>
  </si>
  <si>
    <t>原典セル参照</t>
  </si>
  <si>
    <t>(例)表中の行・列など</t>
  </si>
  <si>
    <t>extraction_method</t>
  </si>
  <si>
    <t>抽出方法</t>
  </si>
  <si>
    <t>(例)MANUAL / AI / IMPORT</t>
  </si>
  <si>
    <t>(例)UNREVIEWED / REVIEWED</t>
  </si>
  <si>
    <t>抽出信頼度</t>
  </si>
  <si>
    <t>(例)AI抽出時 0.98 等</t>
  </si>
  <si>
    <t>S10-02</t>
    <phoneticPr fontId="7"/>
  </si>
  <si>
    <t>structured_specification_rules.standard_provision_id</t>
  </si>
  <si>
    <t>基準文書に記載された章・節・表・条項等の規定単位を管理し、構造化仕様規則の原典根拠を明確にする。</t>
  </si>
  <si>
    <t>原典の記載内容、参照位置、例外・特記事項を保持し、積算結果から原典まで遡って確認できるトレーサビリティを確保する。</t>
  </si>
  <si>
    <t>※基準文書そのものはS10-01 standard_documents で管理し、本テーブルではその文書内の章・節・表・条項等を規定単位として管理する。</t>
  </si>
  <si>
    <t>※原典の記載内容を忠実に保持し、ENMAによる解釈・判定結果とは分離する。</t>
  </si>
  <si>
    <t>※表形式の規定等から抽出した機械判定可能な明細はS10-03 structured_specification_rules で管理する。</t>
  </si>
  <si>
    <t>※特記等による例外適用の可能性が原典に明記されている場合は exception_text に保持し、案件適用仕様との関係を追跡可能とする。</t>
  </si>
  <si>
    <t>S10-02で管理する原典規定を、ENMAが検索・比較・判定に利用できる条件と規定値の組合せに構造化して管理する。</t>
  </si>
  <si>
    <t>原典表等の各明細を機械可読なレコードとして保持し、Engineering Ruleによる適用判定および積算結果の根拠追跡に利用する。</t>
  </si>
  <si>
    <t>※原典の文章・表そのものはS10-02 standard_provisions に保持し、本テーブルではその内容を機械処理可能な明細へ構造化する。</t>
  </si>
  <si>
    <t>※1件の基準規定から複数の構造化仕様規則が生成される1対多の関係を基本とする。</t>
  </si>
  <si>
    <t>※原典表との対応を sequence_no、source_cell_reference 等で追跡可能とし、</t>
  </si>
  <si>
    <t>抽出方法・確認状態・信頼度を保持することで、AI・手入力・インポートによる構造化と技術者確認を区別する。</t>
  </si>
  <si>
    <t>※条件項目はPoC段階では condition_1～condition_3 とし、実データ検証により条件数・種類が増加した場合は</t>
  </si>
  <si>
    <t>条件テーブルへの分離を検討する。</t>
  </si>
  <si>
    <t>ifc_elements</t>
  </si>
  <si>
    <t>work_locations</t>
  </si>
  <si>
    <t>出版・配布者</t>
  </si>
  <si>
    <t>standard_provisions.standard_document_id</t>
  </si>
  <si>
    <t>specification_set_items.standard_document_id</t>
  </si>
  <si>
    <t>国交省標準仕様書、積算基準、JIS等の基準文書とその版・発行情報・原典情報を管理し、</t>
    <phoneticPr fontId="7"/>
  </si>
  <si>
    <t>各規定および仕様セットの原典を特定可能にする親テーブル。</t>
  </si>
  <si>
    <t>※TABLE_2_3_7 は同じ標準仕様書の中では一意にしたいので、将来的には、</t>
  </si>
  <si>
    <t>UNIQUE(standard_document_id, provision_code)を検討する</t>
  </si>
  <si>
    <t>MLIT_SPEC / MLIT_ESTIMATION / JIS / SHASE / JWWA / PROJECT_SPEC</t>
  </si>
  <si>
    <t>※result_value が必須ではないのは、将来「適用不可」「特記による」のような数値以外の規則も入ってくる可能性があるから</t>
    <phoneticPr fontId="7"/>
  </si>
  <si>
    <t>複数の基準文書を、特定の目的・年度・適用条件に応じて一つの仕様体系として組み合わせて管理する。</t>
  </si>
  <si>
    <t>案件ごとに適用する基準文書群とその優先関係を再現可能にする。</t>
  </si>
  <si>
    <t>specification_set_items.specification_set_id</t>
  </si>
  <si>
    <t>project_specifications.specification_set_id</t>
  </si>
  <si>
    <t>仕様セットを構成する基準文書と、その適用範囲・優先順位・適用区分を管理する。</t>
  </si>
  <si>
    <t>複数の原典を組み合わせた場合の採用関係および優先関係を明確にする。</t>
  </si>
  <si>
    <t>案件ごとに採用する仕様セットを確定し、積算時に適用した基準文書群およびその版を再現可能にする。</t>
  </si>
  <si>
    <t>常に最新版を参照するのではなく、案件ごとの適用仕様を履歴として保持する。</t>
  </si>
  <si>
    <t>※標準仕様書に「特記による」等の例外規定がある場合、案件固有の特記仕様によって標準仕様が変更される可能性がある。</t>
    <phoneticPr fontId="7"/>
  </si>
  <si>
    <t>※S30-01では案件が採用する仕様セットを管理し、個別規定の上書きが必要となる場合は案件仕様上書きテーブルの追加を検討する。</t>
    <phoneticPr fontId="7"/>
  </si>
  <si>
    <t>I20-01</t>
  </si>
  <si>
    <t>I10-01</t>
  </si>
  <si>
    <t>I10-01</t>
    <phoneticPr fontId="7"/>
  </si>
  <si>
    <t>I10-02</t>
    <phoneticPr fontId="7"/>
  </si>
  <si>
    <t>inference_results</t>
  </si>
  <si>
    <t>推論結果</t>
  </si>
  <si>
    <t>rule_evaluations</t>
  </si>
  <si>
    <t>ルール評価履歴</t>
  </si>
  <si>
    <t>I20-01</t>
    <phoneticPr fontId="7"/>
  </si>
  <si>
    <t>どの案件か</t>
  </si>
  <si>
    <t>Pへの逆引き(例)#511に対応するP30-01 ID</t>
  </si>
  <si>
    <t>quantity_type</t>
  </si>
  <si>
    <t>算出項目種別</t>
  </si>
  <si>
    <t>VARCHAR</t>
  </si>
  <si>
    <t>算出値</t>
  </si>
  <si>
    <t>DECIMAL</t>
  </si>
  <si>
    <t>結果　(例)40</t>
  </si>
  <si>
    <t>単位</t>
  </si>
  <si>
    <t>単位　(例)mm</t>
    <rPh sb="4" eb="5">
      <t>レイ</t>
    </rPh>
    <phoneticPr fontId="11"/>
  </si>
  <si>
    <t>rule_id</t>
  </si>
  <si>
    <t>適用ルールID</t>
  </si>
  <si>
    <t>project_specification_id</t>
  </si>
  <si>
    <t>Sへの逆引き　(例)S30-01 ID</t>
  </si>
  <si>
    <t>decision_status</t>
  </si>
  <si>
    <t>判定状態</t>
  </si>
  <si>
    <t>確定(DETERMINED)・推定・要確認など</t>
  </si>
  <si>
    <t>decision_reason</t>
  </si>
  <si>
    <t>判定理由</t>
  </si>
  <si>
    <t>人間が読める説明</t>
  </si>
  <si>
    <t>※previous_inference_idは自己FK</t>
  </si>
  <si>
    <t>推論結果ID</t>
  </si>
  <si>
    <t>ENMA内部ID、自動採番</t>
  </si>
  <si>
    <t>(例)1</t>
  </si>
  <si>
    <t>(例)#511のP30-01 ID</t>
  </si>
  <si>
    <t>inference_type</t>
  </si>
  <si>
    <t>推論種別</t>
  </si>
  <si>
    <t>VARCHAR(50)</t>
  </si>
  <si>
    <t>(例)WORK_LOCATION 等</t>
  </si>
  <si>
    <t>source_value</t>
  </si>
  <si>
    <t>推論前値</t>
  </si>
  <si>
    <t>(例)UNKNOWN 等。汎用性を優先</t>
  </si>
  <si>
    <t>inferred_value</t>
  </si>
  <si>
    <t>推論値</t>
  </si>
  <si>
    <t>(例)CEILING_VOID 等</t>
  </si>
  <si>
    <t>inference_method</t>
  </si>
  <si>
    <t>推論方法</t>
  </si>
  <si>
    <t>(例)SPATIAL_RELATIONSHIP 等</t>
  </si>
  <si>
    <t>evidence_json</t>
  </si>
  <si>
    <t>推論根拠</t>
  </si>
  <si>
    <t>JSON</t>
  </si>
  <si>
    <t>推論に使用した根拠情報(例)建築IFCとの空間関係</t>
  </si>
  <si>
    <t>DECIMAL(5,4)</t>
  </si>
  <si>
    <t>0.0000～1.0000を想定(例)0.85</t>
  </si>
  <si>
    <t>inference_status</t>
  </si>
  <si>
    <t>推論状態</t>
  </si>
  <si>
    <t>VARCHAR(30)</t>
  </si>
  <si>
    <t>(例)INFERRED, NEEDS_REVIEW 等</t>
  </si>
  <si>
    <t>previous_inference_id</t>
  </si>
  <si>
    <t>前回推論ID</t>
  </si>
  <si>
    <t>inference_results.id</t>
  </si>
  <si>
    <t>inferred_at</t>
  </si>
  <si>
    <t>推論日時</t>
  </si>
  <si>
    <t>推論を実行した日時</t>
  </si>
  <si>
    <t>ルール評価履歴ID</t>
  </si>
  <si>
    <t>対象案件</t>
  </si>
  <si>
    <t>#511を指す</t>
  </si>
  <si>
    <t>ルールカテゴリ</t>
  </si>
  <si>
    <t>project_specifications.id</t>
  </si>
  <si>
    <t>どの案件仕様を使ったか</t>
  </si>
  <si>
    <t>evaluation_status</t>
  </si>
  <si>
    <t>評価状態</t>
  </si>
  <si>
    <t>MATCHED等</t>
  </si>
  <si>
    <t>input_snapshot_json</t>
  </si>
  <si>
    <t>評価入力スナップショット</t>
  </si>
  <si>
    <t>評価時の入力条件</t>
  </si>
  <si>
    <t>人が読める判定理由</t>
  </si>
  <si>
    <t>previous_evaluation_id</t>
  </si>
  <si>
    <t>前回評価ID</t>
  </si>
  <si>
    <t>rule_evaluations.id</t>
  </si>
  <si>
    <t>再評価時の履歴連結</t>
  </si>
  <si>
    <t>human_reviews.id</t>
  </si>
  <si>
    <t>evaluated_at</t>
  </si>
  <si>
    <t>評価日時</t>
  </si>
  <si>
    <t>実際に評価した日時</t>
  </si>
  <si>
    <t>現行運用との統一</t>
  </si>
  <si>
    <t>JSON</t>
    <phoneticPr fontId="7"/>
  </si>
  <si>
    <t>※rule_id は、</t>
  </si>
  <si>
    <t>inference_result_id</t>
  </si>
  <si>
    <t>案件単位の追跡</t>
  </si>
  <si>
    <t>#511など</t>
  </si>
  <si>
    <t>推論に対する確認の場合</t>
  </si>
  <si>
    <t>rule_evaluation_id</t>
  </si>
  <si>
    <t>ルール評価ID</t>
  </si>
  <si>
    <t>ルール評価に対する確認にも拡張可能</t>
  </si>
  <si>
    <t>INFERENCE 等</t>
  </si>
  <si>
    <t>PENDING / CONFIRMED / CORRECTED 等</t>
  </si>
  <si>
    <t>確認前候補値</t>
  </si>
  <si>
    <t>ENMAが提示した値</t>
  </si>
  <si>
    <t>技術者確定値</t>
  </si>
  <si>
    <t>人間が採用・修正した値</t>
  </si>
  <si>
    <t>review_reason</t>
  </si>
  <si>
    <t>確認理由</t>
  </si>
  <si>
    <t>なぜ人手確認が必要になったか</t>
  </si>
  <si>
    <t>review_comment</t>
  </si>
  <si>
    <t>確認コメント</t>
  </si>
  <si>
    <t>技術者の判断根拠・コメント</t>
  </si>
  <si>
    <t>reviewed_by</t>
  </si>
  <si>
    <t>確認者</t>
  </si>
  <si>
    <t>未確認中はNULL</t>
  </si>
  <si>
    <t>previous_review_id</t>
  </si>
  <si>
    <t>前回確認ID</t>
  </si>
  <si>
    <t>再確認・訂正履歴</t>
  </si>
  <si>
    <t>※review_type は確認対象の種類を表す。</t>
  </si>
  <si>
    <t>INFERENCE：推論結果に対する技術者確認</t>
  </si>
  <si>
    <t>RULE_EVALUATION：ルール評価結果に対する技術者確認</t>
  </si>
  <si>
    <t>※推論内容の種類（WORK_LOCATION、PIPE_MATERIAL等）は inference_results.inference_type で管理する。</t>
  </si>
  <si>
    <t>汎用的な技術者確認履歴を管理する</t>
  </si>
  <si>
    <t>VARCHAR(100)</t>
  </si>
  <si>
    <t>誰が確認したか。将来ユーザーマスタ化可能</t>
    <rPh sb="0" eb="1">
      <t>ダレ</t>
    </rPh>
    <rPh sb="2" eb="4">
      <t>カクニン</t>
    </rPh>
    <phoneticPr fontId="7"/>
  </si>
  <si>
    <t>※reviewed_byは、将来ユーザーマスタを作ったら、</t>
  </si>
  <si>
    <t>reviewed_by_user_id → users.id　へ移行可能</t>
  </si>
  <si>
    <t>rule_evaluation_id</t>
    <phoneticPr fontId="7"/>
  </si>
  <si>
    <t>ルール評価履歴</t>
    <phoneticPr fontId="7"/>
  </si>
  <si>
    <t>※rule_id　 = どのEngineering Ruleか</t>
  </si>
  <si>
    <t>rule_evaluation_id　 = そのRuleを今回ど入力条件で評価したのか</t>
  </si>
  <si>
    <t>「規則」→「規則を適用した事実」→「その結果」に分離する</t>
  </si>
  <si>
    <t>rule_evaluations.id</t>
    <phoneticPr fontId="7"/>
  </si>
  <si>
    <t>R40-01</t>
    <phoneticPr fontId="7"/>
  </si>
  <si>
    <t>duct_thickness_rules</t>
  </si>
  <si>
    <t>duct_thickness_rules</t>
    <phoneticPr fontId="7"/>
  </si>
  <si>
    <t>ダクト板厚選定ルール</t>
  </si>
  <si>
    <t>ダクト板厚選定ルール</t>
    <phoneticPr fontId="7"/>
  </si>
  <si>
    <t>ダクトの形状、構造種別、材質、圧力区分および寸法条件に基づき、適用する板厚を選定するEngineering Ruleを管理する。</t>
  </si>
  <si>
    <t>角形・丸形ダクトを共通のルール体系で扱い、仕様書等の根拠規定とのトレーサビリティを保持する。</t>
  </si>
  <si>
    <t>※角形ダクト・丸形ダクトを共通テーブルで管理する。</t>
  </si>
  <si>
    <t>角形は原則として長辺寸法（LONG_SIDE）、丸形は直径（DIAMETER）等を size_basis で指定し、寸法範囲から板厚を選定する。</t>
  </si>
  <si>
    <t>duct_shape と duct_construction_type は分離し、ROUNDであることのみを根拠としてSPIRALとは判定しない。</t>
  </si>
  <si>
    <t xml:space="preserve">圧力区分・構造種別等がIFCから取得できない場合は推定値を直接確定値として使用せず、inference_results および </t>
  </si>
  <si>
    <t>human_reviews による確認結果を入力条件として使用する。</t>
  </si>
  <si>
    <t>規則の原典は standard_provision_id により standard_provisions へ紐付ける。</t>
  </si>
  <si>
    <t>寸法境界の解釈を明確にするため min_inclusive、max_inclusive を保持する。</t>
  </si>
  <si>
    <t>特記仕様等による複数ルールの競合に備え priority を保持する。</t>
  </si>
  <si>
    <t>主キー、自動採番</t>
  </si>
  <si>
    <t>ルールコード</t>
  </si>
  <si>
    <t>ルール識別用コード</t>
  </si>
  <si>
    <t>duct_shape</t>
  </si>
  <si>
    <t>ダクト形状</t>
  </si>
  <si>
    <t>RECTANGULAR / ROUND</t>
  </si>
  <si>
    <t>duct_construction_type</t>
  </si>
  <si>
    <t>ダクト構造種別</t>
  </si>
  <si>
    <t>SPIRAL 等。形状とは分離して管理</t>
  </si>
  <si>
    <t>material</t>
  </si>
  <si>
    <t>材質</t>
  </si>
  <si>
    <t>亜鉛鉄板等。適用条件として必要な場合に使用</t>
  </si>
  <si>
    <t>pressure_class</t>
  </si>
  <si>
    <t>圧力区分</t>
  </si>
  <si>
    <t>LOW / HIGH_1 / HIGH_2 等</t>
  </si>
  <si>
    <t>size_basis</t>
  </si>
  <si>
    <t>寸法判定基準</t>
  </si>
  <si>
    <t>size_min_mm</t>
  </si>
  <si>
    <t>寸法下限(mm)</t>
  </si>
  <si>
    <t>DECIMAL(10,3)</t>
  </si>
  <si>
    <t>適用寸法範囲の下限</t>
  </si>
  <si>
    <t>size_max_mm</t>
  </si>
  <si>
    <t>寸法上限(mm)</t>
  </si>
  <si>
    <t>適用寸法範囲の上限</t>
  </si>
  <si>
    <t>min_inclusive</t>
  </si>
  <si>
    <t>下限値を含む</t>
  </si>
  <si>
    <t>TRUEの場合、下限値を適用範囲に含む</t>
  </si>
  <si>
    <t>max_inclusive</t>
  </si>
  <si>
    <t>上限値を含む</t>
  </si>
  <si>
    <t>TRUEの場合、上限値を適用範囲に含む</t>
  </si>
  <si>
    <t>thickness_mm</t>
  </si>
  <si>
    <t>板厚(mm)</t>
  </si>
  <si>
    <t>DECIMAL(6,3)</t>
  </si>
  <si>
    <t>ルール適用結果となる板厚</t>
  </si>
  <si>
    <t>根拠規定ID</t>
  </si>
  <si>
    <t>板厚選定の根拠となる原典規定</t>
  </si>
  <si>
    <t>優先順位</t>
  </si>
  <si>
    <t>競合ルールの適用優先順位</t>
  </si>
  <si>
    <t>特記事項、例外条件等</t>
  </si>
  <si>
    <t>有効なルールか</t>
  </si>
  <si>
    <t>pipe_materialspipe_standards</t>
  </si>
  <si>
    <t>カテゴリによって参照するRテーブルが変わってくる</t>
    <phoneticPr fontId="7"/>
  </si>
  <si>
    <t>rule_category = DUCT_THICKNESS(ダクト板厚)の場合　rule_id = duct_thickness_rules.id</t>
    <phoneticPr fontId="7"/>
  </si>
  <si>
    <t>参照方式はR系ルール共通化を検討した結果次のようになる。</t>
    <rPh sb="14" eb="16">
      <t>ケントウ</t>
    </rPh>
    <rPh sb="18" eb="20">
      <t>ケッカ</t>
    </rPh>
    <rPh sb="20" eb="21">
      <t>ツギ</t>
    </rPh>
    <phoneticPr fontId="7"/>
  </si>
  <si>
    <t>CURRENT_TIMESTAMP</t>
    <phoneticPr fontId="7"/>
  </si>
  <si>
    <t>rule_evaluations</t>
    <phoneticPr fontId="7"/>
  </si>
  <si>
    <t>rule_category により参照先Rテーブルを決定する論理参照</t>
    <phoneticPr fontId="7"/>
  </si>
  <si>
    <t>rule_category = INSULATION(保温) の場合 rule_id =insulation_rules.id</t>
    <rPh sb="27" eb="29">
      <t>ホオン</t>
    </rPh>
    <rPh sb="32" eb="34">
      <t>バアイ</t>
    </rPh>
    <phoneticPr fontId="7"/>
  </si>
  <si>
    <t>INSULATION / DUCT_THICKNESS 等</t>
    <phoneticPr fontId="7"/>
  </si>
  <si>
    <t>何を算出したか　(例)INSULATION_THICKNESS / DUCT_THICKNESS 等</t>
    <rPh sb="9" eb="10">
      <t>レイ</t>
    </rPh>
    <phoneticPr fontId="11"/>
  </si>
  <si>
    <t>※size_basisは、LONG_SIDE(角形ダクトの長辺)　NOMINAL_DIAMETER(呼称寸法・呼び径)　GEOMETRY_DIAMETER(IFC Geometryから実測した直径)</t>
    <phoneticPr fontId="7"/>
  </si>
  <si>
    <t>LONG_SIDE　NOMINAL_DIAMETER　GEOMETRY_DIAMETER等</t>
  </si>
  <si>
    <t>呼称mm</t>
    <rPh sb="0" eb="2">
      <t>コショウ</t>
    </rPh>
    <phoneticPr fontId="7"/>
  </si>
  <si>
    <t>※duct_construction_type(ダクト構造種別)は、ENMAで確定したダクト構造種別。</t>
  </si>
  <si>
    <t>例：SPIRAL。IFCの形状区分ROUNDとは分離して管理する。未確定の場合はNULL。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</si>
</sst>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ont>
    <font>
      <sz val="22"/>
      <color theme="1"/>
      <name val="游ゴシック"/>
      <family val="3"/>
      <charset val="128"/>
    </font>
    <font>
      <sz val="11"/>
      <color theme="1"/>
      <name val="游ゴシック"/>
      <family val="3"/>
      <charset val="128"/>
    </font>
    <font>
      <b/>
      <sz val="12"/>
      <name val="ＭＳ Ｐゴシック"/>
      <family val="3"/>
      <charset val="128"/>
    </font>
    <font>
      <sz val="9"/>
      <color theme="1"/>
      <name val="游ゴシック"/>
      <family val="3"/>
      <charset val="128"/>
    </font>
    <font>
      <sz val="9"/>
      <color theme="1"/>
      <name val="游ゴシック"/>
      <family val="3"/>
      <charset val="128"/>
    </font>
    <font>
      <u/>
      <sz val="11"/>
      <color theme="10"/>
      <name val="游ゴシック"/>
      <family val="3"/>
      <charset val="128"/>
    </font>
    <font>
      <sz val="6"/>
      <name val="ＭＳ Ｐゴシック"/>
      <family val="3"/>
      <charset val="128"/>
    </font>
    <font>
      <sz val="11"/>
      <name val="游ゴシック"/>
      <family val="3"/>
      <charset val="128"/>
    </font>
    <font>
      <b/>
      <sz val="11"/>
      <color theme="0"/>
      <name val="Calibri"/>
      <family val="2"/>
      <charset val="128"/>
      <scheme val="minor"/>
    </font>
    <font>
      <b/>
      <sz val="11"/>
      <color theme="1"/>
      <name val="游ゴシック"/>
      <family val="3"/>
      <charset val="128"/>
    </font>
    <font>
      <u/>
      <sz val="11"/>
      <color theme="11"/>
      <name val="游ゴシック"/>
      <family val="3"/>
      <charset val="128"/>
    </font>
  </fonts>
  <fills count="3">
    <fill>
      <patternFill patternType="none"/>
    </fill>
    <fill>
      <patternFill patternType="gray125"/>
    </fill>
    <fill>
      <patternFill patternType="solid">
        <fgColor theme="0" tint="-0.14999847407452621"/>
        <bgColor indexed="65"/>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style="thin">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thick">
        <color auto="1"/>
      </bottom>
      <diagonal/>
    </border>
    <border>
      <left style="thick">
        <color auto="1"/>
      </left>
      <right/>
      <top style="thick">
        <color auto="1"/>
      </top>
      <bottom style="thin">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ck">
        <color auto="1"/>
      </right>
      <top style="thin">
        <color auto="1"/>
      </top>
      <bottom style="thin">
        <color auto="1"/>
      </bottom>
      <diagonal/>
    </border>
    <border>
      <left style="thin">
        <color auto="1"/>
      </left>
      <right style="thin">
        <color auto="1"/>
      </right>
      <top/>
      <bottom style="thin">
        <color auto="1"/>
      </bottom>
      <diagonal/>
    </border>
    <border>
      <left style="thick">
        <color auto="1"/>
      </left>
      <right/>
      <top style="thin">
        <color auto="1"/>
      </top>
      <bottom/>
      <diagonal/>
    </border>
    <border>
      <left style="thin">
        <color auto="1"/>
      </left>
      <right style="thin">
        <color auto="1"/>
      </right>
      <top style="thin">
        <color auto="1"/>
      </top>
      <bottom/>
      <diagonal/>
    </border>
    <border>
      <left/>
      <right style="thick">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ck">
        <color auto="1"/>
      </right>
      <top style="thin">
        <color auto="1"/>
      </top>
      <bottom/>
      <diagonal/>
    </border>
    <border>
      <left style="thick">
        <color auto="1"/>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99">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1" xfId="0" applyBorder="1">
      <alignment vertical="center"/>
    </xf>
    <xf numFmtId="0" fontId="0" fillId="0" borderId="4"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2" borderId="12" xfId="0" applyFill="1" applyBorder="1">
      <alignment vertical="center"/>
    </xf>
    <xf numFmtId="0" fontId="0" fillId="2" borderId="13" xfId="0" applyFill="1" applyBorder="1">
      <alignment vertical="center"/>
    </xf>
    <xf numFmtId="0" fontId="0" fillId="2" borderId="14" xfId="0" applyFill="1" applyBorder="1">
      <alignment vertical="center"/>
    </xf>
    <xf numFmtId="0" fontId="0" fillId="0" borderId="15" xfId="0" applyBorder="1">
      <alignment vertical="center"/>
    </xf>
    <xf numFmtId="0" fontId="0" fillId="0" borderId="16"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17" xfId="0" applyBorder="1">
      <alignment vertical="center"/>
    </xf>
    <xf numFmtId="0" fontId="0" fillId="0" borderId="21" xfId="0" applyBorder="1">
      <alignment vertical="center"/>
    </xf>
    <xf numFmtId="0" fontId="0" fillId="0" borderId="22" xfId="0" applyBorder="1">
      <alignment vertical="center"/>
    </xf>
    <xf numFmtId="0" fontId="1" fillId="0" borderId="0" xfId="0" applyFont="1" applyAlignment="1">
      <alignment horizontal="centerContinuous" vertical="center"/>
    </xf>
    <xf numFmtId="0" fontId="1" fillId="0" borderId="0" xfId="0" applyFont="1">
      <alignment vertical="center"/>
    </xf>
    <xf numFmtId="0" fontId="2"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15" xfId="0" applyFont="1" applyBorder="1">
      <alignment vertical="center"/>
    </xf>
    <xf numFmtId="0" fontId="3" fillId="0" borderId="0" xfId="0" applyFont="1" applyAlignment="1">
      <alignment horizontal="center" vertical="center" wrapText="1"/>
    </xf>
    <xf numFmtId="0" fontId="3" fillId="0" borderId="0" xfId="0" applyFont="1" applyAlignment="1">
      <alignment horizontal="right" vertical="center" wrapText="1"/>
    </xf>
    <xf numFmtId="0" fontId="4" fillId="0" borderId="1" xfId="0" applyFont="1" applyBorder="1">
      <alignment vertical="center"/>
    </xf>
    <xf numFmtId="0" fontId="5" fillId="0" borderId="1" xfId="0" applyFont="1" applyBorder="1">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2" borderId="12" xfId="0" applyFill="1"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5" fillId="0" borderId="9" xfId="0" applyFont="1" applyBorder="1">
      <alignment vertical="center"/>
    </xf>
    <xf numFmtId="0" fontId="2" fillId="0" borderId="23" xfId="0" applyFont="1" applyBorder="1">
      <alignment vertical="center"/>
    </xf>
    <xf numFmtId="0" fontId="2" fillId="0" borderId="8" xfId="0" applyFont="1" applyBorder="1">
      <alignment vertical="center"/>
    </xf>
    <xf numFmtId="0" fontId="2" fillId="0" borderId="1" xfId="0" applyFont="1" applyBorder="1">
      <alignment vertical="center"/>
    </xf>
    <xf numFmtId="49" fontId="2" fillId="0" borderId="0" xfId="0" applyNumberFormat="1" applyFont="1">
      <alignment vertical="center"/>
    </xf>
    <xf numFmtId="0" fontId="5" fillId="0" borderId="0" xfId="0" applyFont="1">
      <alignment vertical="center"/>
    </xf>
    <xf numFmtId="0" fontId="2" fillId="0" borderId="1" xfId="0" applyFont="1" applyBorder="1" applyAlignment="1">
      <alignment horizontal="left" vertical="center"/>
    </xf>
    <xf numFmtId="0" fontId="6" fillId="0" borderId="0" xfId="1" applyBorder="1">
      <alignment vertical="center"/>
    </xf>
    <xf numFmtId="0" fontId="0" fillId="0" borderId="1" xfId="0" applyBorder="1" applyAlignment="1">
      <alignment horizontal="left" vertical="center"/>
    </xf>
    <xf numFmtId="0" fontId="2" fillId="0" borderId="5" xfId="0" applyFont="1" applyBorder="1">
      <alignment vertical="center"/>
    </xf>
    <xf numFmtId="0" fontId="6" fillId="0" borderId="24" xfId="1" applyBorder="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6" fillId="0" borderId="27" xfId="1" applyBorder="1">
      <alignment vertical="center"/>
    </xf>
    <xf numFmtId="0" fontId="0" fillId="0" borderId="28" xfId="0" applyBorder="1" applyAlignment="1">
      <alignment horizontal="center" vertical="center"/>
    </xf>
    <xf numFmtId="0" fontId="2" fillId="0" borderId="30" xfId="0" applyFont="1" applyBorder="1">
      <alignment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6" xfId="0" applyBorder="1">
      <alignment vertical="center"/>
    </xf>
    <xf numFmtId="0" fontId="0" fillId="0" borderId="28" xfId="0" applyBorder="1">
      <alignment vertical="center"/>
    </xf>
    <xf numFmtId="0" fontId="0" fillId="0" borderId="27" xfId="0" applyBorder="1">
      <alignment vertical="center"/>
    </xf>
    <xf numFmtId="0" fontId="0" fillId="0" borderId="29" xfId="0" applyBorder="1">
      <alignment vertical="center"/>
    </xf>
    <xf numFmtId="0" fontId="0" fillId="0" borderId="31" xfId="0" applyBorder="1">
      <alignment vertical="center"/>
    </xf>
    <xf numFmtId="0" fontId="8" fillId="0" borderId="24" xfId="1" applyFont="1" applyBorder="1">
      <alignment vertical="center"/>
    </xf>
    <xf numFmtId="0" fontId="8" fillId="0" borderId="27" xfId="1" applyFont="1" applyBorder="1">
      <alignment vertical="center"/>
    </xf>
    <xf numFmtId="0" fontId="8" fillId="0" borderId="29" xfId="1" applyFont="1" applyBorder="1">
      <alignment vertical="center"/>
    </xf>
    <xf numFmtId="0" fontId="2" fillId="0" borderId="1" xfId="0" applyFont="1" applyBorder="1" applyAlignment="1">
      <alignment horizontal="center" vertical="center"/>
    </xf>
    <xf numFmtId="0" fontId="2" fillId="0" borderId="18" xfId="0" applyFont="1" applyBorder="1">
      <alignment vertical="center"/>
    </xf>
    <xf numFmtId="0" fontId="0" fillId="0" borderId="32" xfId="0" applyBorder="1">
      <alignment vertical="center"/>
    </xf>
    <xf numFmtId="0" fontId="2" fillId="0" borderId="33" xfId="0" applyFont="1" applyBorder="1">
      <alignment vertical="center"/>
    </xf>
    <xf numFmtId="0" fontId="0" fillId="0" borderId="34" xfId="0" applyBorder="1">
      <alignment vertical="center"/>
    </xf>
    <xf numFmtId="0" fontId="0" fillId="0" borderId="35" xfId="0" applyBorder="1">
      <alignment vertical="center"/>
    </xf>
    <xf numFmtId="0" fontId="0" fillId="0" borderId="35" xfId="0" applyBorder="1" applyAlignment="1">
      <alignment horizontal="center" vertical="center"/>
    </xf>
    <xf numFmtId="0" fontId="5" fillId="0" borderId="35" xfId="0" applyFont="1" applyBorder="1">
      <alignment vertical="center"/>
    </xf>
    <xf numFmtId="0" fontId="0" fillId="0" borderId="36" xfId="0" applyBorder="1">
      <alignment vertical="center"/>
    </xf>
    <xf numFmtId="0" fontId="2" fillId="0" borderId="34" xfId="0" applyFont="1" applyBorder="1">
      <alignment vertical="center"/>
    </xf>
    <xf numFmtId="0" fontId="2" fillId="0" borderId="35" xfId="0" applyFont="1" applyBorder="1">
      <alignment vertical="center"/>
    </xf>
    <xf numFmtId="49" fontId="2" fillId="0" borderId="8" xfId="0" applyNumberFormat="1" applyFont="1" applyBorder="1">
      <alignment vertical="center"/>
    </xf>
    <xf numFmtId="0" fontId="2" fillId="0" borderId="22" xfId="0" applyFont="1" applyBorder="1">
      <alignment vertical="center"/>
    </xf>
    <xf numFmtId="0" fontId="2" fillId="0" borderId="37" xfId="0" applyFont="1" applyBorder="1">
      <alignment vertical="center"/>
    </xf>
    <xf numFmtId="0" fontId="2" fillId="0" borderId="16" xfId="0" applyFont="1" applyBorder="1">
      <alignment vertical="center"/>
    </xf>
    <xf numFmtId="0" fontId="2" fillId="0" borderId="20" xfId="0" applyFont="1" applyBorder="1">
      <alignment vertical="center"/>
    </xf>
    <xf numFmtId="0" fontId="2" fillId="0" borderId="32" xfId="0" applyFont="1" applyBorder="1">
      <alignment vertical="center"/>
    </xf>
    <xf numFmtId="0" fontId="2" fillId="0" borderId="25" xfId="0" applyFont="1" applyBorder="1">
      <alignment vertical="center"/>
    </xf>
    <xf numFmtId="0" fontId="2" fillId="0" borderId="9" xfId="0" applyFont="1" applyBorder="1" applyAlignment="1">
      <alignment horizontal="center" vertical="center"/>
    </xf>
    <xf numFmtId="0" fontId="0" fillId="0" borderId="38" xfId="0" applyBorder="1">
      <alignment vertical="center"/>
    </xf>
    <xf numFmtId="0" fontId="0" fillId="0" borderId="39" xfId="0" applyBorder="1">
      <alignment vertical="center"/>
    </xf>
    <xf numFmtId="0" fontId="2" fillId="0" borderId="40" xfId="0" applyFont="1" applyBorder="1">
      <alignment vertical="center"/>
    </xf>
    <xf numFmtId="0" fontId="10"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10" fillId="0" borderId="0" xfId="0" applyFont="1" applyAlignment="1">
      <alignment vertical="center" wrapText="1"/>
    </xf>
    <xf numFmtId="0" fontId="0" fillId="2" borderId="0" xfId="0" applyFill="1">
      <alignment vertical="center"/>
    </xf>
    <xf numFmtId="0" fontId="0" fillId="2" borderId="0" xfId="0" applyFill="1" applyAlignment="1">
      <alignment horizontal="center" vertical="center"/>
    </xf>
    <xf numFmtId="0" fontId="4" fillId="0" borderId="9" xfId="0" applyFont="1" applyBorder="1">
      <alignment vertical="center"/>
    </xf>
    <xf numFmtId="0" fontId="2" fillId="0" borderId="11" xfId="0" applyFont="1" applyBorder="1">
      <alignment vertical="center"/>
    </xf>
    <xf numFmtId="0" fontId="0" fillId="2" borderId="17" xfId="0" applyFill="1" applyBorder="1">
      <alignment vertical="center"/>
    </xf>
    <xf numFmtId="0" fontId="0" fillId="0" borderId="6" xfId="0" applyBorder="1">
      <alignment vertical="center"/>
    </xf>
    <xf numFmtId="0" fontId="0" fillId="2" borderId="0" xfId="0" applyFill="1">
      <alignment vertical="center"/>
    </xf>
    <xf numFmtId="0" fontId="0" fillId="0" borderId="0" xfId="0">
      <alignment vertical="center"/>
    </xf>
    <xf numFmtId="0" fontId="0" fillId="0" borderId="14" xfId="0"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Z1432"/>
  <sheetViews>
    <sheetView tabSelected="1" view="pageBreakPreview" topLeftCell="A160" zoomScale="130" zoomScaleNormal="130" zoomScaleSheetLayoutView="130" zoomScalePageLayoutView="115" workbookViewId="0">
      <selection activeCell="J184" sqref="J184"/>
    </sheetView>
  </sheetViews>
  <sheetFormatPr defaultRowHeight="18.75"/>
  <cols>
    <col min="1" max="1" width="3.5" customWidth="1"/>
    <col min="2" max="2" width="7" customWidth="1"/>
    <col min="3" max="3" width="14.5" customWidth="1"/>
    <col min="4" max="4" width="17" customWidth="1"/>
    <col min="5" max="5" width="15.375" customWidth="1"/>
    <col min="6" max="9" width="4.75" style="33" customWidth="1"/>
    <col min="10" max="10" width="11.5" customWidth="1"/>
    <col min="11" max="11" width="13.875" customWidth="1"/>
    <col min="12" max="12" width="37.875" customWidth="1"/>
    <col min="13" max="13" width="17.625" customWidth="1"/>
    <col min="15" max="15" width="10.25" customWidth="1"/>
    <col min="16" max="16" width="13.875" customWidth="1"/>
    <col min="24" max="24" width="22.25" bestFit="1" customWidth="1"/>
  </cols>
  <sheetData>
    <row r="2" spans="1:12" ht="30.75" customHeight="1">
      <c r="A2" s="22" t="s">
        <v>63</v>
      </c>
      <c r="B2" s="22"/>
      <c r="C2" s="22"/>
      <c r="D2" s="22"/>
      <c r="E2" s="22"/>
      <c r="F2" s="32"/>
      <c r="G2" s="32"/>
      <c r="H2" s="32"/>
      <c r="I2" s="32"/>
      <c r="J2" s="22"/>
      <c r="K2" s="22"/>
      <c r="L2" s="22"/>
    </row>
    <row r="3" spans="1:12" ht="17.25" customHeight="1">
      <c r="A3" s="22"/>
      <c r="B3" s="22"/>
      <c r="C3" s="22"/>
      <c r="D3" s="22"/>
      <c r="E3" s="22"/>
      <c r="F3" s="32"/>
      <c r="G3" s="32"/>
      <c r="H3" s="32"/>
      <c r="I3" s="32"/>
      <c r="J3" s="22"/>
      <c r="K3" s="22"/>
      <c r="L3" s="22"/>
    </row>
    <row r="4" spans="1:12" ht="17.25" customHeight="1">
      <c r="A4" s="22"/>
      <c r="B4" s="24" t="s">
        <v>53</v>
      </c>
      <c r="C4" s="22"/>
      <c r="D4" s="22"/>
      <c r="E4" s="22"/>
      <c r="F4" s="32"/>
      <c r="G4" s="32"/>
      <c r="H4" s="32"/>
      <c r="I4" s="32"/>
      <c r="J4" s="22"/>
      <c r="K4" s="22"/>
      <c r="L4" s="22"/>
    </row>
    <row r="5" spans="1:12" ht="17.25" customHeight="1">
      <c r="A5" s="22"/>
      <c r="B5" s="22"/>
      <c r="C5" s="24" t="s">
        <v>54</v>
      </c>
      <c r="D5" s="42" t="s">
        <v>64</v>
      </c>
      <c r="E5" s="24" t="s">
        <v>55</v>
      </c>
      <c r="F5" s="32"/>
      <c r="G5" s="32"/>
      <c r="H5" s="32"/>
      <c r="I5" s="32"/>
      <c r="J5" s="22"/>
      <c r="K5" s="22"/>
      <c r="L5" s="22"/>
    </row>
    <row r="6" spans="1:12" ht="17.25" customHeight="1">
      <c r="A6" s="22"/>
      <c r="B6" s="22"/>
      <c r="C6" s="24"/>
      <c r="D6" s="42"/>
      <c r="E6" s="24"/>
      <c r="F6" s="32"/>
      <c r="G6" s="32"/>
      <c r="H6" s="32"/>
      <c r="I6" s="32"/>
      <c r="J6" s="22"/>
      <c r="K6" s="22"/>
      <c r="L6" s="22"/>
    </row>
    <row r="7" spans="1:12" ht="17.25" customHeight="1">
      <c r="A7" s="22"/>
      <c r="B7" s="22"/>
      <c r="C7" s="24"/>
      <c r="D7" s="42"/>
      <c r="E7" s="24"/>
      <c r="F7" s="32"/>
      <c r="G7" s="32"/>
      <c r="H7" s="32"/>
      <c r="I7" s="32"/>
      <c r="J7" s="22"/>
      <c r="K7" s="22"/>
      <c r="L7" s="22"/>
    </row>
    <row r="8" spans="1:12" ht="17.25" customHeight="1">
      <c r="A8" s="22"/>
      <c r="B8" s="22"/>
      <c r="C8" s="24"/>
      <c r="D8" s="42"/>
      <c r="E8" s="24"/>
      <c r="F8" s="32"/>
      <c r="G8" s="32"/>
      <c r="H8" s="32"/>
      <c r="I8" s="32"/>
      <c r="J8" s="22"/>
      <c r="K8" s="22"/>
      <c r="L8" s="22"/>
    </row>
    <row r="9" spans="1:12" ht="17.25" customHeight="1">
      <c r="A9" s="22"/>
      <c r="B9" s="22"/>
      <c r="C9" s="24"/>
      <c r="D9" s="42"/>
      <c r="E9" s="24"/>
      <c r="F9" s="32"/>
      <c r="G9" s="32"/>
      <c r="H9" s="32"/>
      <c r="I9" s="32"/>
      <c r="J9" s="22"/>
      <c r="K9" s="22"/>
      <c r="L9" s="22"/>
    </row>
    <row r="10" spans="1:12" ht="17.25" customHeight="1">
      <c r="A10" s="22"/>
      <c r="B10" s="22"/>
      <c r="C10" s="24"/>
      <c r="D10" s="42"/>
      <c r="E10" s="24"/>
      <c r="F10" s="32"/>
      <c r="G10" s="32"/>
      <c r="H10" s="32"/>
      <c r="I10" s="32"/>
      <c r="J10" s="22"/>
      <c r="K10" s="22"/>
      <c r="L10" s="22"/>
    </row>
    <row r="11" spans="1:12" ht="17.25" customHeight="1">
      <c r="A11" s="22"/>
      <c r="B11" s="22"/>
      <c r="C11" s="24"/>
      <c r="D11" s="42"/>
      <c r="E11" s="24"/>
      <c r="F11" s="32"/>
      <c r="G11" s="32"/>
      <c r="H11" s="32"/>
      <c r="I11" s="32"/>
      <c r="J11" s="22"/>
      <c r="K11" s="22"/>
      <c r="L11" s="22"/>
    </row>
    <row r="12" spans="1:12" ht="17.25" customHeight="1">
      <c r="A12" s="22"/>
      <c r="B12" s="22"/>
      <c r="C12" s="24"/>
      <c r="D12" s="42"/>
      <c r="E12" s="24"/>
      <c r="F12" s="32"/>
      <c r="G12" s="32"/>
      <c r="H12" s="32"/>
      <c r="I12" s="32"/>
      <c r="J12" s="22"/>
      <c r="K12" s="22"/>
      <c r="L12" s="22"/>
    </row>
    <row r="13" spans="1:12" ht="17.25" customHeight="1">
      <c r="A13" s="22"/>
      <c r="B13" s="22"/>
      <c r="C13" s="24"/>
      <c r="D13" s="42"/>
      <c r="E13" s="24"/>
      <c r="F13" s="32"/>
      <c r="G13" s="32"/>
      <c r="H13" s="32"/>
      <c r="I13" s="32"/>
      <c r="J13" s="22"/>
      <c r="K13" s="22"/>
      <c r="L13" s="22"/>
    </row>
    <row r="14" spans="1:12" ht="17.25" customHeight="1">
      <c r="A14" s="22"/>
      <c r="B14" s="22"/>
      <c r="C14" s="24"/>
      <c r="D14" s="42"/>
      <c r="E14" s="24"/>
      <c r="F14" s="32"/>
      <c r="G14" s="32"/>
      <c r="H14" s="32"/>
      <c r="I14" s="32"/>
      <c r="J14" s="22"/>
      <c r="K14" s="22"/>
      <c r="L14" s="22"/>
    </row>
    <row r="15" spans="1:12" ht="17.25" customHeight="1">
      <c r="A15" s="22"/>
      <c r="B15" s="22"/>
      <c r="C15" s="24"/>
      <c r="D15" s="42"/>
      <c r="E15" s="24"/>
      <c r="F15" s="32"/>
      <c r="G15" s="32"/>
      <c r="H15" s="32"/>
      <c r="I15" s="32"/>
      <c r="J15" s="22"/>
      <c r="K15" s="22"/>
      <c r="L15" s="22"/>
    </row>
    <row r="16" spans="1:12" ht="17.25" customHeight="1">
      <c r="A16" s="22"/>
      <c r="B16" s="22"/>
      <c r="C16" s="24"/>
      <c r="D16" s="42"/>
      <c r="E16" s="24"/>
      <c r="F16" s="32"/>
      <c r="G16" s="32"/>
      <c r="H16" s="32"/>
      <c r="I16" s="32"/>
      <c r="J16" s="22"/>
      <c r="K16" s="22"/>
      <c r="L16" s="22"/>
    </row>
    <row r="17" spans="1:16" ht="17.25" customHeight="1">
      <c r="A17" s="22"/>
      <c r="B17" s="22"/>
      <c r="C17" s="24"/>
      <c r="D17" s="42"/>
      <c r="E17" s="24"/>
      <c r="F17" s="32"/>
      <c r="G17" s="32"/>
      <c r="H17" s="32"/>
      <c r="I17" s="32"/>
      <c r="J17" s="22"/>
      <c r="K17" s="22"/>
      <c r="L17" s="22"/>
    </row>
    <row r="18" spans="1:16" ht="17.25" customHeight="1">
      <c r="A18" s="22"/>
      <c r="B18" s="22"/>
      <c r="C18" s="24"/>
      <c r="D18" s="42"/>
      <c r="E18" s="24"/>
      <c r="F18" s="32"/>
      <c r="G18" s="32"/>
      <c r="H18" s="32"/>
      <c r="I18" s="32"/>
      <c r="J18" s="22"/>
      <c r="K18" s="22"/>
      <c r="L18" s="22"/>
    </row>
    <row r="19" spans="1:16" ht="17.25" customHeight="1">
      <c r="A19" s="22"/>
      <c r="B19" s="22"/>
      <c r="C19" s="24"/>
      <c r="D19" s="42"/>
      <c r="E19" s="24"/>
      <c r="F19" s="32"/>
      <c r="G19" s="32"/>
      <c r="H19" s="32"/>
      <c r="I19" s="32"/>
      <c r="J19" s="22"/>
      <c r="K19" s="22"/>
      <c r="L19" s="22"/>
    </row>
    <row r="20" spans="1:16" ht="17.25" customHeight="1">
      <c r="A20" s="22"/>
      <c r="B20" s="22"/>
      <c r="C20" s="24"/>
      <c r="D20" s="42"/>
      <c r="E20" s="24"/>
      <c r="F20" s="32"/>
      <c r="G20" s="32"/>
      <c r="H20" s="32"/>
      <c r="I20" s="32"/>
      <c r="J20" s="22"/>
      <c r="K20" s="22"/>
      <c r="L20" s="22"/>
    </row>
    <row r="21" spans="1:16" ht="21.75" customHeight="1" thickBot="1">
      <c r="A21" s="23"/>
      <c r="B21" s="24" t="s">
        <v>52</v>
      </c>
      <c r="C21" s="24"/>
      <c r="D21" s="23"/>
      <c r="E21" s="23"/>
      <c r="F21" s="32"/>
      <c r="G21" s="32"/>
      <c r="H21" s="32"/>
      <c r="I21" s="32"/>
      <c r="J21" s="23"/>
      <c r="K21" s="23"/>
      <c r="L21" s="23"/>
    </row>
    <row r="22" spans="1:16">
      <c r="A22">
        <v>1</v>
      </c>
      <c r="B22" s="61" t="s">
        <v>282</v>
      </c>
      <c r="C22" s="48" t="str">
        <f>HYPERLINK("#'テーブル設計'!B85","projects")</f>
        <v>projects</v>
      </c>
      <c r="D22" s="56"/>
      <c r="E22" s="81" t="s">
        <v>392</v>
      </c>
      <c r="F22" s="49"/>
      <c r="G22" s="49"/>
      <c r="H22" s="49"/>
      <c r="I22" s="50"/>
      <c r="O22" t="s">
        <v>66</v>
      </c>
      <c r="P22">
        <v>85</v>
      </c>
    </row>
    <row r="23" spans="1:16">
      <c r="A23">
        <v>2</v>
      </c>
      <c r="B23" s="62" t="s">
        <v>283</v>
      </c>
      <c r="C23" s="51" t="str">
        <f>HYPERLINK("#'テーブル設計'!B125","calculation_runs")</f>
        <v>calculation_runs</v>
      </c>
      <c r="D23" s="57"/>
      <c r="E23" s="26" t="s">
        <v>393</v>
      </c>
      <c r="F23" s="34"/>
      <c r="G23" s="34"/>
      <c r="H23" s="34"/>
      <c r="I23" s="52"/>
      <c r="O23" t="s">
        <v>84</v>
      </c>
      <c r="P23">
        <v>125</v>
      </c>
    </row>
    <row r="24" spans="1:16">
      <c r="A24">
        <v>3</v>
      </c>
      <c r="B24" s="62" t="s">
        <v>284</v>
      </c>
      <c r="C24" s="51" t="str">
        <f>HYPERLINK("#'テーブル設計'!B165","ifc_elements")</f>
        <v>ifc_elements</v>
      </c>
      <c r="D24" s="57"/>
      <c r="E24" s="26" t="s">
        <v>394</v>
      </c>
      <c r="F24" s="34"/>
      <c r="G24" s="34"/>
      <c r="H24" s="34"/>
      <c r="I24" s="52"/>
      <c r="O24" t="s">
        <v>592</v>
      </c>
      <c r="P24">
        <v>165</v>
      </c>
    </row>
    <row r="25" spans="1:16">
      <c r="A25">
        <v>4</v>
      </c>
      <c r="B25" s="62" t="s">
        <v>286</v>
      </c>
      <c r="C25" s="51" t="str">
        <f>HYPERLINK("#'テーブル設計'!B215","element_properties")</f>
        <v>element_properties</v>
      </c>
      <c r="D25" s="57"/>
      <c r="E25" s="26" t="s">
        <v>395</v>
      </c>
      <c r="F25" s="34"/>
      <c r="G25" s="34"/>
      <c r="H25" s="34"/>
      <c r="I25" s="52"/>
      <c r="O25" t="s">
        <v>287</v>
      </c>
      <c r="P25">
        <v>215</v>
      </c>
    </row>
    <row r="26" spans="1:16">
      <c r="A26">
        <v>5</v>
      </c>
      <c r="B26" s="62" t="s">
        <v>452</v>
      </c>
      <c r="C26" s="51" t="str">
        <f>HYPERLINK("#'テーブル設計'!B250","ifc_ports")</f>
        <v>ifc_ports</v>
      </c>
      <c r="D26" s="57"/>
      <c r="E26" s="26" t="s">
        <v>449</v>
      </c>
      <c r="F26" s="34"/>
      <c r="G26" s="34"/>
      <c r="H26" s="34"/>
      <c r="I26" s="52"/>
      <c r="O26" t="s">
        <v>450</v>
      </c>
      <c r="P26">
        <v>250</v>
      </c>
    </row>
    <row r="27" spans="1:16">
      <c r="A27">
        <v>6</v>
      </c>
      <c r="B27" s="62" t="s">
        <v>453</v>
      </c>
      <c r="C27" s="51" t="str">
        <f>HYPERLINK("#'テーブル設計'!B294","ifc_port_connections")</f>
        <v>ifc_port_connections</v>
      </c>
      <c r="D27" s="57"/>
      <c r="E27" s="26" t="s">
        <v>448</v>
      </c>
      <c r="F27" s="34"/>
      <c r="G27" s="34"/>
      <c r="H27" s="34"/>
      <c r="I27" s="52"/>
      <c r="O27" t="s">
        <v>451</v>
      </c>
      <c r="P27">
        <v>294</v>
      </c>
    </row>
    <row r="28" spans="1:16">
      <c r="A28">
        <v>7</v>
      </c>
      <c r="B28" s="62" t="s">
        <v>290</v>
      </c>
      <c r="C28" s="51" t="str">
        <f>HYPERLINK("#'テーブル設計'!B333","standard_documents")</f>
        <v>standard_documents</v>
      </c>
      <c r="D28" s="57"/>
      <c r="E28" s="26" t="s">
        <v>407</v>
      </c>
      <c r="F28" s="34"/>
      <c r="G28" s="34"/>
      <c r="H28" s="34"/>
      <c r="I28" s="52"/>
      <c r="O28" t="s">
        <v>68</v>
      </c>
      <c r="P28">
        <v>333</v>
      </c>
    </row>
    <row r="29" spans="1:16">
      <c r="A29">
        <v>8</v>
      </c>
      <c r="B29" s="62" t="s">
        <v>576</v>
      </c>
      <c r="C29" s="51" t="str">
        <f>HYPERLINK("#'テーブル設計'!B382","standard_provisions")</f>
        <v>standard_provisions</v>
      </c>
      <c r="D29" s="57"/>
      <c r="E29" s="26" t="s">
        <v>514</v>
      </c>
      <c r="F29" s="34"/>
      <c r="G29" s="34"/>
      <c r="H29" s="34"/>
      <c r="I29" s="52"/>
      <c r="O29" t="s">
        <v>513</v>
      </c>
      <c r="P29">
        <v>382</v>
      </c>
    </row>
    <row r="30" spans="1:16">
      <c r="A30">
        <v>9</v>
      </c>
      <c r="B30" s="62" t="s">
        <v>538</v>
      </c>
      <c r="C30" s="51" t="str">
        <f>HYPERLINK("#'テーブル設計'!B425","structured_specification_rules")</f>
        <v>structured_specification_rules</v>
      </c>
      <c r="D30" s="57"/>
      <c r="E30" s="26" t="s">
        <v>540</v>
      </c>
      <c r="F30" s="34"/>
      <c r="G30" s="34"/>
      <c r="H30" s="34"/>
      <c r="I30" s="52"/>
      <c r="O30" t="s">
        <v>539</v>
      </c>
      <c r="P30">
        <v>425</v>
      </c>
    </row>
    <row r="31" spans="1:16">
      <c r="A31">
        <v>10</v>
      </c>
      <c r="B31" s="62" t="s">
        <v>291</v>
      </c>
      <c r="C31" s="51" t="str">
        <f>HYPERLINK("#'テーブル設計'!B472","specification_sets")</f>
        <v>specification_sets</v>
      </c>
      <c r="D31" s="57"/>
      <c r="E31" s="2" t="s">
        <v>376</v>
      </c>
      <c r="F31" s="34"/>
      <c r="G31" s="34"/>
      <c r="H31" s="34"/>
      <c r="I31" s="52"/>
      <c r="O31" t="s">
        <v>292</v>
      </c>
      <c r="P31">
        <v>472</v>
      </c>
    </row>
    <row r="32" spans="1:16">
      <c r="A32">
        <v>11</v>
      </c>
      <c r="B32" s="62" t="s">
        <v>397</v>
      </c>
      <c r="C32" s="51" t="str">
        <f>HYPERLINK("#'テーブル設計'!B512","specification_set_items")</f>
        <v>specification_set_items</v>
      </c>
      <c r="D32" s="57"/>
      <c r="E32" s="2" t="s">
        <v>398</v>
      </c>
      <c r="F32" s="34"/>
      <c r="G32" s="34"/>
      <c r="H32" s="34"/>
      <c r="I32" s="52"/>
      <c r="O32" t="s">
        <v>401</v>
      </c>
      <c r="P32">
        <v>512</v>
      </c>
    </row>
    <row r="33" spans="1:16">
      <c r="A33">
        <v>12</v>
      </c>
      <c r="B33" s="62" t="s">
        <v>293</v>
      </c>
      <c r="C33" s="51" t="str">
        <f>HYPERLINK("#'テーブル設計'!B552","project_specifications")</f>
        <v>project_specifications</v>
      </c>
      <c r="D33" s="57"/>
      <c r="E33" s="26" t="s">
        <v>400</v>
      </c>
      <c r="F33" s="34"/>
      <c r="G33" s="34"/>
      <c r="H33" s="34"/>
      <c r="I33" s="52"/>
      <c r="O33" t="s">
        <v>404</v>
      </c>
      <c r="P33">
        <v>552</v>
      </c>
    </row>
    <row r="34" spans="1:16">
      <c r="A34">
        <v>13</v>
      </c>
      <c r="B34" s="62" t="s">
        <v>294</v>
      </c>
      <c r="C34" s="51" t="str">
        <f>HYPERLINK("#'テーブル設計'!B590","fluids")</f>
        <v>fluids</v>
      </c>
      <c r="D34" s="57"/>
      <c r="E34" s="2" t="s">
        <v>70</v>
      </c>
      <c r="F34" s="34"/>
      <c r="G34" s="34"/>
      <c r="H34" s="34"/>
      <c r="I34" s="52"/>
      <c r="O34" t="s">
        <v>69</v>
      </c>
      <c r="P34">
        <v>590</v>
      </c>
    </row>
    <row r="35" spans="1:16">
      <c r="A35">
        <v>14</v>
      </c>
      <c r="B35" s="62" t="s">
        <v>295</v>
      </c>
      <c r="C35" s="51" t="str">
        <f>HYPERLINK("#'テーブル設計'!B630","work_locations")</f>
        <v>work_locations</v>
      </c>
      <c r="D35" s="57"/>
      <c r="E35" s="26" t="s">
        <v>296</v>
      </c>
      <c r="F35" s="34"/>
      <c r="G35" s="34"/>
      <c r="H35" s="34"/>
      <c r="I35" s="52"/>
      <c r="O35" t="s">
        <v>593</v>
      </c>
      <c r="P35">
        <v>630</v>
      </c>
    </row>
    <row r="36" spans="1:16">
      <c r="A36">
        <v>15</v>
      </c>
      <c r="B36" s="62" t="s">
        <v>297</v>
      </c>
      <c r="C36" s="51" t="str">
        <f>HYPERLINK("#'テーブル設計'!B668","pipe_materialspipe_standards")</f>
        <v>pipe_materialspipe_standards</v>
      </c>
      <c r="D36" s="57"/>
      <c r="E36" s="2" t="s">
        <v>72</v>
      </c>
      <c r="F36" s="34"/>
      <c r="G36" s="34"/>
      <c r="H36" s="34"/>
      <c r="I36" s="52"/>
      <c r="O36" t="s">
        <v>795</v>
      </c>
      <c r="P36">
        <v>668</v>
      </c>
    </row>
    <row r="37" spans="1:16">
      <c r="A37">
        <v>16</v>
      </c>
      <c r="B37" s="62" t="s">
        <v>298</v>
      </c>
      <c r="C37" s="51" t="str">
        <f>HYPERLINK("#'テーブル設計'!B747","pipe_sizes")</f>
        <v>pipe_sizes</v>
      </c>
      <c r="D37" s="57"/>
      <c r="E37" s="2" t="s">
        <v>74</v>
      </c>
      <c r="F37" s="34"/>
      <c r="G37" s="34"/>
      <c r="H37" s="34"/>
      <c r="I37" s="52"/>
      <c r="O37" t="s">
        <v>75</v>
      </c>
      <c r="P37">
        <v>747</v>
      </c>
    </row>
    <row r="38" spans="1:16">
      <c r="A38">
        <v>17</v>
      </c>
      <c r="B38" s="62" t="s">
        <v>299</v>
      </c>
      <c r="C38" s="51" t="str">
        <f>HYPERLINK("#'テーブル設計'!B791","pipe_sizes")</f>
        <v>pipe_sizes</v>
      </c>
      <c r="D38" s="57"/>
      <c r="E38" s="2" t="s">
        <v>76</v>
      </c>
      <c r="F38" s="34"/>
      <c r="G38" s="34"/>
      <c r="H38" s="34"/>
      <c r="I38" s="52"/>
      <c r="O38" t="s">
        <v>75</v>
      </c>
      <c r="P38">
        <v>791</v>
      </c>
    </row>
    <row r="39" spans="1:16">
      <c r="A39">
        <v>18</v>
      </c>
      <c r="B39" s="62" t="s">
        <v>300</v>
      </c>
      <c r="C39" s="51" t="str">
        <f>HYPERLINK("#'テーブル設計'!B829","insulation_types")</f>
        <v>insulation_types</v>
      </c>
      <c r="D39" s="57"/>
      <c r="E39" s="2" t="s">
        <v>78</v>
      </c>
      <c r="F39" s="34"/>
      <c r="G39" s="34"/>
      <c r="H39" s="34"/>
      <c r="I39" s="52"/>
      <c r="O39" t="s">
        <v>77</v>
      </c>
      <c r="P39">
        <v>829</v>
      </c>
    </row>
    <row r="40" spans="1:16">
      <c r="A40">
        <v>19</v>
      </c>
      <c r="B40" s="62" t="s">
        <v>301</v>
      </c>
      <c r="C40" s="51" t="str">
        <f>HYPERLINK("#'テーブル設計'!B867","painting_types")</f>
        <v>painting_types</v>
      </c>
      <c r="D40" s="57"/>
      <c r="E40" s="2" t="s">
        <v>80</v>
      </c>
      <c r="F40" s="34"/>
      <c r="G40" s="34"/>
      <c r="H40" s="34"/>
      <c r="I40" s="52"/>
      <c r="O40" t="s">
        <v>79</v>
      </c>
      <c r="P40">
        <v>867</v>
      </c>
    </row>
    <row r="41" spans="1:16">
      <c r="A41">
        <v>20</v>
      </c>
      <c r="B41" s="62" t="s">
        <v>302</v>
      </c>
      <c r="C41" s="51" t="str">
        <f>HYPERLINK("#'テーブル設計'!B902","worker_types")</f>
        <v>worker_types</v>
      </c>
      <c r="D41" s="57"/>
      <c r="E41" s="26" t="s">
        <v>363</v>
      </c>
      <c r="F41" s="34"/>
      <c r="G41" s="34"/>
      <c r="H41" s="34"/>
      <c r="I41" s="52"/>
      <c r="O41" t="s">
        <v>83</v>
      </c>
      <c r="P41">
        <v>902</v>
      </c>
    </row>
    <row r="42" spans="1:16">
      <c r="A42">
        <v>21</v>
      </c>
      <c r="B42" s="62" t="s">
        <v>303</v>
      </c>
      <c r="C42" s="58" t="str">
        <f>HYPERLINK("#'テーブル設計'!B948","insulation_rules")</f>
        <v>insulation_rules</v>
      </c>
      <c r="D42" s="57"/>
      <c r="E42" s="2" t="s">
        <v>304</v>
      </c>
      <c r="F42" s="34"/>
      <c r="G42" s="34"/>
      <c r="H42" s="34"/>
      <c r="I42" s="52"/>
      <c r="O42" t="s">
        <v>81</v>
      </c>
      <c r="P42">
        <v>948</v>
      </c>
    </row>
    <row r="43" spans="1:16">
      <c r="A43">
        <v>22</v>
      </c>
      <c r="B43" s="62" t="s">
        <v>305</v>
      </c>
      <c r="C43" s="58" t="str">
        <f>HYPERLINK("#'テーブル設計'!B991","painting_rules")</f>
        <v>painting_rules</v>
      </c>
      <c r="D43" s="57"/>
      <c r="E43" s="2" t="s">
        <v>306</v>
      </c>
      <c r="F43" s="34"/>
      <c r="G43" s="34"/>
      <c r="H43" s="34"/>
      <c r="I43" s="52"/>
      <c r="O43" t="s">
        <v>82</v>
      </c>
      <c r="P43">
        <v>991</v>
      </c>
    </row>
    <row r="44" spans="1:16">
      <c r="A44">
        <v>23</v>
      </c>
      <c r="B44" s="62" t="s">
        <v>307</v>
      </c>
      <c r="C44" s="58" t="str">
        <f>HYPERLINK("#'テーブル設計'!B1040","labor_productivity_rules")</f>
        <v>labor_productivity_rules</v>
      </c>
      <c r="D44" s="57"/>
      <c r="E44" s="2" t="s">
        <v>309</v>
      </c>
      <c r="F44" s="34"/>
      <c r="G44" s="34"/>
      <c r="H44" s="34"/>
      <c r="I44" s="52"/>
      <c r="O44" t="s">
        <v>308</v>
      </c>
      <c r="P44">
        <v>1040</v>
      </c>
    </row>
    <row r="45" spans="1:16">
      <c r="A45">
        <v>24</v>
      </c>
      <c r="B45" s="62" t="s">
        <v>740</v>
      </c>
      <c r="C45" s="51" t="str">
        <f>HYPERLINK("#'テーブル設計'!B1040","duct_thickness_rules")</f>
        <v>duct_thickness_rules</v>
      </c>
      <c r="D45" s="57"/>
      <c r="E45" s="2" t="s">
        <v>743</v>
      </c>
      <c r="F45" s="34"/>
      <c r="G45" s="34"/>
      <c r="H45" s="34"/>
      <c r="I45" s="52"/>
      <c r="O45" t="s">
        <v>741</v>
      </c>
      <c r="P45">
        <v>1089</v>
      </c>
    </row>
    <row r="46" spans="1:16">
      <c r="A46">
        <v>25</v>
      </c>
      <c r="B46" s="62" t="s">
        <v>615</v>
      </c>
      <c r="C46" s="58" t="str">
        <f>HYPERLINK("#'テーブル設計'!B1089","inference_results")</f>
        <v>inference_results</v>
      </c>
      <c r="D46" s="57"/>
      <c r="E46" s="2" t="s">
        <v>618</v>
      </c>
      <c r="F46" s="34"/>
      <c r="G46" s="34"/>
      <c r="H46" s="34"/>
      <c r="I46" s="52"/>
      <c r="O46" t="s">
        <v>617</v>
      </c>
      <c r="P46">
        <v>1089</v>
      </c>
    </row>
    <row r="47" spans="1:16">
      <c r="A47">
        <v>26</v>
      </c>
      <c r="B47" s="62" t="s">
        <v>616</v>
      </c>
      <c r="C47" s="58" t="str">
        <f>HYPERLINK("#'テーブル設計'!B1134","rule_evaluations")</f>
        <v>rule_evaluations</v>
      </c>
      <c r="D47" s="57"/>
      <c r="E47" s="26" t="s">
        <v>735</v>
      </c>
      <c r="F47" s="34"/>
      <c r="G47" s="34"/>
      <c r="H47" s="34"/>
      <c r="I47" s="52"/>
      <c r="O47" t="s">
        <v>619</v>
      </c>
      <c r="P47">
        <v>1134</v>
      </c>
    </row>
    <row r="48" spans="1:16">
      <c r="A48">
        <v>27</v>
      </c>
      <c r="B48" s="62" t="s">
        <v>613</v>
      </c>
      <c r="C48" s="51" t="str">
        <f>HYPERLINK("#'テーブル設計'!B1179","human_reviews")</f>
        <v>human_reviews</v>
      </c>
      <c r="D48" s="57"/>
      <c r="E48" s="26" t="s">
        <v>396</v>
      </c>
      <c r="F48" s="34"/>
      <c r="G48" s="34"/>
      <c r="H48" s="34"/>
      <c r="I48" s="52"/>
      <c r="O48" t="s">
        <v>289</v>
      </c>
      <c r="P48">
        <v>1179</v>
      </c>
    </row>
    <row r="49" spans="1:16">
      <c r="A49">
        <v>28</v>
      </c>
      <c r="B49" s="62" t="s">
        <v>310</v>
      </c>
      <c r="C49" s="58" t="str">
        <f>HYPERLINK("#'テーブル設計'!B1226","element_quantity_results")</f>
        <v>element_quantity_results</v>
      </c>
      <c r="D49" s="57"/>
      <c r="E49" s="2" t="s">
        <v>312</v>
      </c>
      <c r="F49" s="34"/>
      <c r="G49" s="34"/>
      <c r="H49" s="34"/>
      <c r="I49" s="52"/>
      <c r="O49" t="s">
        <v>311</v>
      </c>
      <c r="P49">
        <v>1226</v>
      </c>
    </row>
    <row r="50" spans="1:16">
      <c r="A50">
        <v>29</v>
      </c>
      <c r="B50" s="62" t="s">
        <v>313</v>
      </c>
      <c r="C50" s="58" t="str">
        <f>HYPERLINK("#'テーブル設計'!B1270","quantity_summaries")</f>
        <v>quantity_summaries</v>
      </c>
      <c r="D50" s="57"/>
      <c r="E50" s="26" t="s">
        <v>315</v>
      </c>
      <c r="F50" s="34"/>
      <c r="G50" s="34"/>
      <c r="H50" s="34"/>
      <c r="I50" s="52"/>
      <c r="O50" t="s">
        <v>314</v>
      </c>
      <c r="P50">
        <v>1270</v>
      </c>
    </row>
    <row r="51" spans="1:16" ht="19.5" thickBot="1">
      <c r="A51">
        <v>30</v>
      </c>
      <c r="B51" s="63" t="s">
        <v>316</v>
      </c>
      <c r="C51" s="59" t="str">
        <f>HYPERLINK("#'テーブル設計'!B1324","calculation_evidence")</f>
        <v>calculation_evidence</v>
      </c>
      <c r="D51" s="60"/>
      <c r="E51" s="53" t="s">
        <v>318</v>
      </c>
      <c r="F51" s="54"/>
      <c r="G51" s="54"/>
      <c r="H51" s="54"/>
      <c r="I51" s="55"/>
      <c r="O51" t="s">
        <v>317</v>
      </c>
      <c r="P51">
        <v>1324</v>
      </c>
    </row>
    <row r="52" spans="1:16">
      <c r="B52" s="45"/>
    </row>
    <row r="53" spans="1:16" ht="14.25" customHeight="1">
      <c r="A53" s="23"/>
      <c r="B53" s="24" t="s">
        <v>51</v>
      </c>
      <c r="C53" s="24"/>
      <c r="D53" s="23"/>
      <c r="E53" s="23"/>
      <c r="F53" s="32"/>
      <c r="G53" s="32"/>
      <c r="H53" s="32"/>
      <c r="I53" s="32"/>
      <c r="J53" s="23"/>
      <c r="K53" s="23"/>
      <c r="L53" s="23"/>
    </row>
    <row r="54" spans="1:16" ht="14.25" customHeight="1">
      <c r="A54" s="23"/>
      <c r="B54" s="25" t="s">
        <v>0</v>
      </c>
      <c r="C54" s="27"/>
      <c r="D54" s="26" t="s">
        <v>1</v>
      </c>
      <c r="E54" s="27"/>
      <c r="F54" s="32"/>
      <c r="G54" s="32"/>
      <c r="H54" s="32"/>
      <c r="I54" s="32"/>
      <c r="J54" s="23"/>
      <c r="K54" s="23"/>
      <c r="L54" s="23"/>
    </row>
    <row r="55" spans="1:16" ht="14.25" customHeight="1">
      <c r="A55" s="23"/>
      <c r="B55" s="25" t="s">
        <v>2</v>
      </c>
      <c r="C55" s="27"/>
      <c r="D55" s="26"/>
      <c r="E55" s="27"/>
      <c r="F55" s="32"/>
      <c r="G55" s="32"/>
      <c r="H55" s="32"/>
      <c r="I55" s="32"/>
      <c r="J55" s="23"/>
      <c r="K55" s="23"/>
      <c r="L55" s="23"/>
    </row>
    <row r="56" spans="1:16" ht="14.25" customHeight="1">
      <c r="A56" s="23"/>
      <c r="B56" s="25" t="s">
        <v>3</v>
      </c>
      <c r="C56" s="27"/>
      <c r="D56" s="26"/>
      <c r="E56" s="27"/>
      <c r="F56" s="32"/>
      <c r="G56" s="32"/>
      <c r="H56" s="32"/>
      <c r="I56" s="32"/>
      <c r="J56" s="23"/>
      <c r="K56" s="23"/>
      <c r="L56" s="23"/>
    </row>
    <row r="57" spans="1:16" ht="14.25" customHeight="1">
      <c r="A57" s="23"/>
      <c r="B57" s="25" t="s">
        <v>4</v>
      </c>
      <c r="C57" s="27"/>
      <c r="D57" s="26"/>
      <c r="E57" s="27"/>
      <c r="F57" s="32"/>
      <c r="G57" s="32"/>
      <c r="H57" s="32"/>
      <c r="I57" s="32"/>
      <c r="J57" s="23"/>
      <c r="K57" s="23"/>
      <c r="L57" s="23"/>
    </row>
    <row r="58" spans="1:16" ht="14.25" customHeight="1">
      <c r="A58" s="22"/>
      <c r="B58" s="25" t="s">
        <v>5</v>
      </c>
      <c r="C58" s="27"/>
      <c r="D58" s="26" t="s">
        <v>6</v>
      </c>
      <c r="E58" s="27"/>
      <c r="F58" s="32"/>
      <c r="G58" s="32"/>
      <c r="H58" s="32"/>
      <c r="I58" s="32"/>
      <c r="J58" s="22"/>
      <c r="K58" s="22"/>
      <c r="L58" s="22"/>
    </row>
    <row r="59" spans="1:16" ht="14.25" customHeight="1">
      <c r="A59" s="22"/>
      <c r="B59" s="25" t="s">
        <v>7</v>
      </c>
      <c r="C59" s="27"/>
      <c r="D59" s="26" t="s">
        <v>8</v>
      </c>
      <c r="E59" s="27"/>
      <c r="F59" s="32"/>
      <c r="G59" s="32"/>
      <c r="H59" s="32"/>
      <c r="I59" s="32"/>
      <c r="J59" s="22"/>
      <c r="K59" s="22"/>
      <c r="L59" s="22"/>
    </row>
    <row r="60" spans="1:16" ht="14.25" customHeight="1">
      <c r="A60" s="22"/>
      <c r="B60" s="25" t="s">
        <v>9</v>
      </c>
      <c r="C60" s="27"/>
      <c r="D60" s="26" t="s">
        <v>10</v>
      </c>
      <c r="E60" s="27"/>
      <c r="F60" s="32"/>
      <c r="G60" s="32"/>
      <c r="H60" s="32"/>
      <c r="I60" s="32"/>
      <c r="J60" s="22"/>
      <c r="K60" s="22"/>
      <c r="L60" s="22"/>
    </row>
    <row r="61" spans="1:16" ht="14.25" customHeight="1">
      <c r="A61" s="22"/>
      <c r="B61" s="25" t="s">
        <v>11</v>
      </c>
      <c r="C61" s="27"/>
      <c r="D61" s="26" t="s">
        <v>12</v>
      </c>
      <c r="E61" s="27"/>
      <c r="F61" s="39" t="s">
        <v>48</v>
      </c>
      <c r="G61" s="32"/>
      <c r="H61" s="32"/>
      <c r="I61" s="32"/>
      <c r="J61" s="22"/>
      <c r="K61" s="22"/>
      <c r="L61" s="22"/>
    </row>
    <row r="62" spans="1:16" ht="14.25" customHeight="1">
      <c r="A62" s="22"/>
      <c r="B62" s="25" t="s">
        <v>13</v>
      </c>
      <c r="C62" s="27"/>
      <c r="D62" s="26" t="s">
        <v>14</v>
      </c>
      <c r="E62" s="27"/>
      <c r="F62" s="32"/>
      <c r="G62" s="32"/>
      <c r="H62" s="32"/>
      <c r="I62" s="32"/>
      <c r="J62" s="22"/>
      <c r="K62" s="22"/>
      <c r="L62" s="22"/>
    </row>
    <row r="63" spans="1:16" ht="14.25" customHeight="1">
      <c r="A63" s="22"/>
      <c r="B63" s="25" t="s">
        <v>15</v>
      </c>
      <c r="C63" s="27"/>
      <c r="D63" s="26" t="s">
        <v>16</v>
      </c>
      <c r="E63" s="27"/>
      <c r="F63" s="32"/>
      <c r="G63" s="32"/>
      <c r="H63" s="32"/>
      <c r="I63" s="32"/>
      <c r="J63" s="22"/>
      <c r="K63" s="22"/>
      <c r="L63" s="22"/>
    </row>
    <row r="64" spans="1:16" ht="14.25" customHeight="1">
      <c r="A64" s="22"/>
      <c r="B64" s="25" t="s">
        <v>17</v>
      </c>
      <c r="C64" s="27"/>
      <c r="D64" s="26" t="s">
        <v>18</v>
      </c>
      <c r="E64" s="27"/>
      <c r="F64" s="32"/>
      <c r="G64" s="32"/>
      <c r="H64" s="32"/>
      <c r="I64" s="32"/>
      <c r="J64" s="22"/>
      <c r="K64" s="22"/>
      <c r="L64" s="22"/>
    </row>
    <row r="65" spans="1:12" ht="14.25" customHeight="1">
      <c r="A65" s="22"/>
      <c r="B65" s="24"/>
      <c r="C65" s="24"/>
      <c r="D65" s="24"/>
      <c r="E65" s="24"/>
      <c r="F65" s="32"/>
      <c r="G65" s="32"/>
      <c r="H65" s="32"/>
      <c r="I65" s="32"/>
      <c r="J65" s="22"/>
      <c r="K65" s="22"/>
      <c r="L65" s="22"/>
    </row>
    <row r="66" spans="1:12" ht="14.25" customHeight="1">
      <c r="A66" s="22"/>
      <c r="B66" s="24" t="s">
        <v>19</v>
      </c>
      <c r="C66" s="24"/>
      <c r="D66" s="24"/>
      <c r="E66" s="24"/>
      <c r="F66" s="32"/>
      <c r="G66" s="32"/>
      <c r="H66" s="32"/>
      <c r="I66" s="32"/>
      <c r="J66" s="22"/>
      <c r="K66" s="22"/>
      <c r="L66" s="22"/>
    </row>
    <row r="67" spans="1:12" ht="14.25" customHeight="1">
      <c r="A67" s="22"/>
      <c r="B67" s="24" t="s">
        <v>20</v>
      </c>
      <c r="C67" s="24"/>
      <c r="D67" s="24"/>
      <c r="E67" s="24"/>
      <c r="F67" s="32"/>
      <c r="G67" s="32"/>
      <c r="H67" s="32"/>
      <c r="I67" s="32"/>
      <c r="J67" s="22"/>
      <c r="K67" s="22"/>
      <c r="L67" s="22"/>
    </row>
    <row r="68" spans="1:12" ht="14.25" customHeight="1">
      <c r="A68" s="22"/>
      <c r="B68" s="24"/>
      <c r="C68" s="24"/>
      <c r="D68" s="24"/>
      <c r="E68" s="24"/>
      <c r="F68" s="32"/>
      <c r="G68" s="32"/>
      <c r="H68" s="32"/>
      <c r="I68" s="32"/>
      <c r="J68" s="22"/>
      <c r="K68" s="22"/>
      <c r="L68" s="22"/>
    </row>
    <row r="69" spans="1:12" ht="14.25" customHeight="1">
      <c r="A69" s="22"/>
      <c r="B69" s="24"/>
      <c r="C69" s="24"/>
      <c r="D69" s="24"/>
      <c r="E69" s="24"/>
      <c r="F69" s="32"/>
      <c r="G69" s="32"/>
      <c r="H69" s="32"/>
      <c r="I69" s="32"/>
      <c r="J69" s="22"/>
      <c r="K69" s="22"/>
      <c r="L69" s="22"/>
    </row>
    <row r="70" spans="1:12" ht="14.25" customHeight="1">
      <c r="A70" s="22"/>
      <c r="B70" s="24"/>
      <c r="C70" s="24"/>
      <c r="D70" s="24"/>
      <c r="E70" s="24"/>
      <c r="F70" s="32"/>
      <c r="G70" s="32"/>
      <c r="H70" s="32"/>
      <c r="I70" s="32"/>
      <c r="J70" s="22"/>
      <c r="K70" s="22"/>
      <c r="L70" s="22"/>
    </row>
    <row r="71" spans="1:12" ht="14.25" customHeight="1">
      <c r="A71" s="22"/>
      <c r="B71" s="24"/>
      <c r="C71" s="24"/>
      <c r="D71" s="24"/>
      <c r="E71" s="24"/>
      <c r="F71" s="32"/>
      <c r="G71" s="32"/>
      <c r="H71" s="32"/>
      <c r="I71" s="32"/>
      <c r="J71" s="22"/>
      <c r="K71" s="22"/>
      <c r="L71" s="22"/>
    </row>
    <row r="72" spans="1:12" ht="14.25" customHeight="1">
      <c r="A72" s="22"/>
      <c r="B72" s="24"/>
      <c r="C72" s="24"/>
      <c r="D72" s="24"/>
      <c r="E72" s="24"/>
      <c r="F72" s="32"/>
      <c r="G72" s="32"/>
      <c r="H72" s="32"/>
      <c r="I72" s="32"/>
      <c r="J72" s="22"/>
      <c r="K72" s="22"/>
      <c r="L72" s="22"/>
    </row>
    <row r="73" spans="1:12" ht="14.25" customHeight="1">
      <c r="A73" s="22"/>
      <c r="B73" s="24"/>
      <c r="C73" s="24"/>
      <c r="D73" s="24"/>
      <c r="E73" s="24"/>
      <c r="F73" s="32"/>
      <c r="G73" s="32"/>
      <c r="H73" s="32"/>
      <c r="I73" s="32"/>
      <c r="J73" s="22"/>
      <c r="K73" s="22"/>
      <c r="L73" s="22"/>
    </row>
    <row r="74" spans="1:12" ht="14.25" customHeight="1">
      <c r="A74" s="22"/>
      <c r="B74" s="24"/>
      <c r="C74" s="24"/>
      <c r="D74" s="24"/>
      <c r="E74" s="24"/>
      <c r="F74" s="32"/>
      <c r="G74" s="32"/>
      <c r="H74" s="32"/>
      <c r="I74" s="32"/>
      <c r="J74" s="22"/>
      <c r="K74" s="22"/>
      <c r="L74" s="22"/>
    </row>
    <row r="75" spans="1:12" ht="14.25" customHeight="1">
      <c r="A75" s="22"/>
      <c r="B75" s="24"/>
      <c r="C75" s="24"/>
      <c r="D75" s="24"/>
      <c r="E75" s="24"/>
      <c r="F75" s="32"/>
      <c r="G75" s="32"/>
      <c r="H75" s="32"/>
      <c r="I75" s="32"/>
      <c r="J75" s="22"/>
      <c r="K75" s="22"/>
      <c r="L75" s="22"/>
    </row>
    <row r="76" spans="1:12" ht="14.25" customHeight="1">
      <c r="A76" s="22"/>
      <c r="B76" s="24"/>
      <c r="C76" s="24"/>
      <c r="D76" s="24"/>
      <c r="E76" s="24"/>
      <c r="F76" s="32"/>
      <c r="G76" s="32"/>
      <c r="H76" s="32"/>
      <c r="I76" s="32"/>
      <c r="J76" s="22"/>
      <c r="K76" s="22"/>
      <c r="L76" s="22"/>
    </row>
    <row r="77" spans="1:12" ht="14.25" customHeight="1">
      <c r="A77" s="22"/>
      <c r="B77" s="24"/>
      <c r="C77" s="24"/>
      <c r="D77" s="24"/>
      <c r="E77" s="24"/>
      <c r="F77" s="32"/>
      <c r="G77" s="32"/>
      <c r="H77" s="32"/>
      <c r="I77" s="32"/>
      <c r="J77" s="22"/>
      <c r="K77" s="22"/>
      <c r="L77" s="22"/>
    </row>
    <row r="78" spans="1:12" ht="14.25" customHeight="1">
      <c r="A78" s="22"/>
      <c r="B78" s="24"/>
      <c r="C78" s="24"/>
      <c r="D78" s="24"/>
      <c r="E78" s="24"/>
      <c r="F78" s="32"/>
      <c r="G78" s="32"/>
      <c r="H78" s="32"/>
      <c r="I78" s="32"/>
      <c r="J78" s="22"/>
      <c r="K78" s="22"/>
      <c r="L78" s="22"/>
    </row>
    <row r="79" spans="1:12" ht="14.25" customHeight="1">
      <c r="A79" s="22"/>
      <c r="B79" s="24"/>
      <c r="C79" s="24"/>
      <c r="D79" s="24"/>
      <c r="E79" s="24"/>
      <c r="F79" s="32"/>
      <c r="G79" s="32"/>
      <c r="H79" s="32"/>
      <c r="I79" s="32"/>
      <c r="J79" s="22"/>
      <c r="K79" s="22"/>
      <c r="L79" s="22"/>
    </row>
    <row r="80" spans="1:12" ht="14.25" customHeight="1">
      <c r="A80" s="22"/>
      <c r="B80" s="24"/>
      <c r="C80" s="24"/>
      <c r="D80" s="24"/>
      <c r="E80" s="24"/>
      <c r="F80" s="32"/>
      <c r="G80" s="32"/>
      <c r="H80" s="32"/>
      <c r="I80" s="32"/>
      <c r="J80" s="22"/>
      <c r="K80" s="22"/>
      <c r="L80" s="22"/>
    </row>
    <row r="81" spans="1:14" ht="14.25" customHeight="1">
      <c r="A81" s="22"/>
      <c r="B81" s="24"/>
      <c r="C81" s="24"/>
      <c r="D81" s="24"/>
      <c r="E81" s="24"/>
      <c r="F81" s="32"/>
      <c r="G81" s="32"/>
      <c r="H81" s="32"/>
      <c r="I81" s="32"/>
      <c r="J81" s="22"/>
      <c r="K81" s="22"/>
      <c r="L81" s="22"/>
    </row>
    <row r="82" spans="1:14" ht="14.25" customHeight="1">
      <c r="A82" s="22"/>
      <c r="B82" s="24"/>
      <c r="C82" s="24"/>
      <c r="D82" s="24"/>
      <c r="E82" s="24"/>
      <c r="F82" s="32"/>
      <c r="G82" s="32"/>
      <c r="H82" s="32"/>
      <c r="I82" s="32"/>
      <c r="J82" s="22"/>
      <c r="K82" s="22"/>
      <c r="L82" s="22"/>
    </row>
    <row r="83" spans="1:14" ht="13.5" customHeight="1">
      <c r="A83" s="22"/>
      <c r="B83" s="24"/>
      <c r="C83" s="24"/>
      <c r="D83" s="24"/>
      <c r="E83" s="24"/>
      <c r="F83" s="32"/>
      <c r="G83" s="32"/>
      <c r="H83" s="32"/>
      <c r="I83" s="32"/>
      <c r="J83" s="22"/>
      <c r="K83" s="22"/>
      <c r="L83" s="22"/>
    </row>
    <row r="84" spans="1:14" ht="19.5" thickBot="1"/>
    <row r="85" spans="1:14" ht="19.5" thickTop="1">
      <c r="B85" s="19" t="s">
        <v>21</v>
      </c>
      <c r="C85" s="4"/>
      <c r="D85" s="5" t="s">
        <v>66</v>
      </c>
      <c r="E85" s="6"/>
      <c r="F85" t="s">
        <v>282</v>
      </c>
      <c r="M85" t="str">
        <f>+D85</f>
        <v>projects</v>
      </c>
      <c r="N85">
        <v>85</v>
      </c>
    </row>
    <row r="86" spans="1:14" ht="19.5" thickBot="1">
      <c r="B86" s="17" t="s">
        <v>22</v>
      </c>
      <c r="C86" s="15"/>
      <c r="D86" s="21" t="s">
        <v>67</v>
      </c>
      <c r="E86" s="20"/>
    </row>
    <row r="87" spans="1:14" ht="19.5" thickTop="1"/>
    <row r="88" spans="1:14">
      <c r="B88" s="1" t="s">
        <v>23</v>
      </c>
      <c r="C88" s="14"/>
    </row>
    <row r="89" spans="1:14">
      <c r="C89" s="24" t="s">
        <v>85</v>
      </c>
    </row>
    <row r="93" spans="1:14">
      <c r="B93" s="1" t="s">
        <v>24</v>
      </c>
      <c r="C93" s="14"/>
    </row>
    <row r="94" spans="1:14">
      <c r="C94" t="s">
        <v>25</v>
      </c>
    </row>
    <row r="96" spans="1:14">
      <c r="B96" s="1" t="s">
        <v>26</v>
      </c>
      <c r="C96" s="14"/>
    </row>
    <row r="97" spans="1:17">
      <c r="C97" s="10"/>
    </row>
    <row r="102" spans="1:17">
      <c r="B102" s="1" t="s">
        <v>49</v>
      </c>
      <c r="C102" s="14"/>
    </row>
    <row r="103" spans="1:17">
      <c r="C103" s="24" t="s">
        <v>65</v>
      </c>
    </row>
    <row r="110" spans="1:17" ht="19.5" thickBot="1"/>
    <row r="111" spans="1:17" ht="19.5" thickTop="1">
      <c r="B111" s="94" t="s">
        <v>2</v>
      </c>
      <c r="C111" s="95"/>
      <c r="D111" s="11" t="s">
        <v>3</v>
      </c>
      <c r="E111" s="13" t="s">
        <v>4</v>
      </c>
      <c r="F111" s="35" t="s">
        <v>5</v>
      </c>
      <c r="G111" s="35" t="s">
        <v>7</v>
      </c>
      <c r="H111" s="35" t="s">
        <v>27</v>
      </c>
      <c r="I111" s="35" t="s">
        <v>47</v>
      </c>
      <c r="J111" s="11" t="s">
        <v>14</v>
      </c>
      <c r="K111" s="11" t="s">
        <v>15</v>
      </c>
      <c r="L111" s="12" t="s">
        <v>17</v>
      </c>
      <c r="O111" s="29"/>
      <c r="P111" s="29"/>
      <c r="Q111" s="28"/>
    </row>
    <row r="112" spans="1:17">
      <c r="A112">
        <v>1</v>
      </c>
      <c r="B112" s="16" t="s">
        <v>25</v>
      </c>
      <c r="C112" s="2"/>
      <c r="D112" s="41" t="s">
        <v>101</v>
      </c>
      <c r="E112" s="14" t="s">
        <v>29</v>
      </c>
      <c r="F112" s="3" t="s">
        <v>30</v>
      </c>
      <c r="G112" s="36"/>
      <c r="H112" s="36" t="s">
        <v>30</v>
      </c>
      <c r="I112" s="36" t="s">
        <v>30</v>
      </c>
      <c r="J112" s="36"/>
      <c r="K112" s="31"/>
      <c r="L112" s="7" t="s">
        <v>219</v>
      </c>
    </row>
    <row r="113" spans="1:14">
      <c r="A113">
        <v>2</v>
      </c>
      <c r="B113" s="16" t="s">
        <v>86</v>
      </c>
      <c r="C113" s="2"/>
      <c r="D113" s="3" t="s">
        <v>87</v>
      </c>
      <c r="E113" s="14" t="s">
        <v>31</v>
      </c>
      <c r="F113" s="3"/>
      <c r="G113" s="36"/>
      <c r="H113" s="36" t="s">
        <v>30</v>
      </c>
      <c r="I113" s="36"/>
      <c r="J113" s="36"/>
      <c r="K113" s="31"/>
      <c r="L113" s="7"/>
    </row>
    <row r="114" spans="1:14">
      <c r="A114">
        <v>3</v>
      </c>
      <c r="B114" s="16" t="s">
        <v>32</v>
      </c>
      <c r="C114" s="2"/>
      <c r="D114" s="3" t="s">
        <v>88</v>
      </c>
      <c r="E114" s="14" t="s">
        <v>31</v>
      </c>
      <c r="F114" s="3"/>
      <c r="G114" s="36"/>
      <c r="H114" s="36" t="s">
        <v>30</v>
      </c>
      <c r="I114" s="36"/>
      <c r="J114" s="36"/>
      <c r="K114" s="31"/>
      <c r="L114" s="7"/>
    </row>
    <row r="115" spans="1:14">
      <c r="A115">
        <v>4</v>
      </c>
      <c r="B115" s="16" t="s">
        <v>89</v>
      </c>
      <c r="C115" s="2"/>
      <c r="D115" s="3" t="s">
        <v>90</v>
      </c>
      <c r="E115" s="14" t="s">
        <v>31</v>
      </c>
      <c r="F115" s="3"/>
      <c r="G115" s="36"/>
      <c r="H115" s="36"/>
      <c r="I115" s="36"/>
      <c r="J115" s="36"/>
      <c r="K115" s="31"/>
      <c r="L115" s="7"/>
    </row>
    <row r="116" spans="1:14">
      <c r="A116">
        <v>5</v>
      </c>
      <c r="B116" s="16" t="s">
        <v>91</v>
      </c>
      <c r="C116" s="2"/>
      <c r="D116" s="3" t="s">
        <v>92</v>
      </c>
      <c r="E116" s="14" t="s">
        <v>33</v>
      </c>
      <c r="F116" s="3"/>
      <c r="G116" s="36"/>
      <c r="H116" s="36"/>
      <c r="I116" s="36"/>
      <c r="J116" s="36"/>
      <c r="K116" s="31"/>
      <c r="L116" s="7"/>
    </row>
    <row r="117" spans="1:14">
      <c r="A117">
        <v>6</v>
      </c>
      <c r="B117" s="16" t="s">
        <v>93</v>
      </c>
      <c r="C117" s="2"/>
      <c r="D117" s="3" t="s">
        <v>94</v>
      </c>
      <c r="E117" s="14" t="s">
        <v>33</v>
      </c>
      <c r="F117" s="3"/>
      <c r="G117" s="36"/>
      <c r="H117" s="36"/>
      <c r="I117" s="36"/>
      <c r="J117" s="36"/>
      <c r="K117" s="31"/>
      <c r="L117" s="7"/>
    </row>
    <row r="118" spans="1:14">
      <c r="A118">
        <v>7</v>
      </c>
      <c r="B118" s="16" t="s">
        <v>95</v>
      </c>
      <c r="C118" s="2"/>
      <c r="D118" s="3" t="s">
        <v>96</v>
      </c>
      <c r="E118" s="14" t="s">
        <v>33</v>
      </c>
      <c r="F118" s="3"/>
      <c r="G118" s="36"/>
      <c r="H118" s="36"/>
      <c r="I118" s="36"/>
      <c r="J118" s="36"/>
      <c r="K118" s="31"/>
      <c r="L118" s="7"/>
    </row>
    <row r="119" spans="1:14">
      <c r="A119">
        <v>8</v>
      </c>
      <c r="B119" s="16" t="s">
        <v>97</v>
      </c>
      <c r="C119" s="2"/>
      <c r="D119" s="3" t="s">
        <v>98</v>
      </c>
      <c r="E119" s="14" t="s">
        <v>31</v>
      </c>
      <c r="F119" s="3"/>
      <c r="G119" s="36"/>
      <c r="H119" s="36"/>
      <c r="I119" s="36"/>
      <c r="J119" s="36"/>
      <c r="K119" s="31"/>
      <c r="L119" s="7"/>
    </row>
    <row r="120" spans="1:14">
      <c r="A120">
        <v>9</v>
      </c>
      <c r="B120" s="16" t="s">
        <v>45</v>
      </c>
      <c r="C120" s="2"/>
      <c r="D120" s="3" t="s">
        <v>17</v>
      </c>
      <c r="E120" s="14" t="s">
        <v>31</v>
      </c>
      <c r="F120" s="3"/>
      <c r="G120" s="36"/>
      <c r="H120" s="36"/>
      <c r="I120" s="36"/>
      <c r="J120" s="36"/>
      <c r="K120" s="31"/>
      <c r="L120" s="7"/>
    </row>
    <row r="121" spans="1:14">
      <c r="A121">
        <v>10</v>
      </c>
      <c r="B121" s="16" t="s">
        <v>34</v>
      </c>
      <c r="C121" s="2"/>
      <c r="D121" s="3" t="s">
        <v>35</v>
      </c>
      <c r="E121" s="14" t="s">
        <v>36</v>
      </c>
      <c r="F121" s="36"/>
      <c r="G121" s="36"/>
      <c r="H121" s="36"/>
      <c r="I121" s="36"/>
      <c r="J121" s="30" t="s">
        <v>37</v>
      </c>
      <c r="K121" s="3"/>
      <c r="L121" s="7"/>
    </row>
    <row r="122" spans="1:14" ht="19.5" thickBot="1">
      <c r="A122">
        <v>11</v>
      </c>
      <c r="B122" s="17" t="s">
        <v>38</v>
      </c>
      <c r="C122" s="18"/>
      <c r="D122" s="8" t="s">
        <v>39</v>
      </c>
      <c r="E122" s="15" t="s">
        <v>36</v>
      </c>
      <c r="F122" s="37"/>
      <c r="G122" s="37"/>
      <c r="H122" s="37"/>
      <c r="I122" s="37"/>
      <c r="J122" s="38" t="s">
        <v>37</v>
      </c>
      <c r="K122" s="8"/>
      <c r="L122" s="9" t="s">
        <v>50</v>
      </c>
    </row>
    <row r="123" spans="1:14" ht="19.5" thickTop="1">
      <c r="J123" s="43"/>
    </row>
    <row r="124" spans="1:14" ht="19.5" thickBot="1">
      <c r="B124" t="str">
        <f>HYPERLINK("#'テーブル設計'!B2","テーブル一覧")</f>
        <v>テーブル一覧</v>
      </c>
    </row>
    <row r="125" spans="1:14" ht="19.5" thickTop="1">
      <c r="B125" s="19" t="s">
        <v>21</v>
      </c>
      <c r="C125" s="4"/>
      <c r="D125" s="5" t="s">
        <v>84</v>
      </c>
      <c r="E125" s="6"/>
      <c r="F125" t="s">
        <v>283</v>
      </c>
      <c r="M125" t="str">
        <f>+D125</f>
        <v>calculation_runs</v>
      </c>
      <c r="N125">
        <v>125</v>
      </c>
    </row>
    <row r="126" spans="1:14" ht="19.5" thickBot="1">
      <c r="B126" s="17" t="s">
        <v>22</v>
      </c>
      <c r="C126" s="15"/>
      <c r="D126" s="76" t="s">
        <v>377</v>
      </c>
      <c r="E126" s="20"/>
    </row>
    <row r="127" spans="1:14" ht="19.5" thickTop="1"/>
    <row r="128" spans="1:14">
      <c r="B128" s="1" t="s">
        <v>23</v>
      </c>
      <c r="C128" s="14"/>
    </row>
    <row r="129" spans="2:3">
      <c r="C129" t="s">
        <v>265</v>
      </c>
    </row>
    <row r="133" spans="2:3">
      <c r="B133" s="1" t="s">
        <v>24</v>
      </c>
      <c r="C133" s="14"/>
    </row>
    <row r="134" spans="2:3">
      <c r="C134" t="s">
        <v>25</v>
      </c>
    </row>
    <row r="136" spans="2:3">
      <c r="B136" s="1" t="s">
        <v>26</v>
      </c>
      <c r="C136" s="14"/>
    </row>
    <row r="137" spans="2:3">
      <c r="C137" s="10"/>
    </row>
    <row r="142" spans="2:3">
      <c r="B142" s="1" t="s">
        <v>49</v>
      </c>
      <c r="C142" s="14"/>
    </row>
    <row r="143" spans="2:3">
      <c r="C143" s="24" t="s">
        <v>65</v>
      </c>
    </row>
    <row r="149" spans="1:17" ht="19.5" thickBot="1"/>
    <row r="150" spans="1:17" ht="19.5" thickTop="1">
      <c r="B150" s="94" t="s">
        <v>2</v>
      </c>
      <c r="C150" s="95"/>
      <c r="D150" s="11" t="s">
        <v>3</v>
      </c>
      <c r="E150" s="13" t="s">
        <v>4</v>
      </c>
      <c r="F150" s="35" t="s">
        <v>5</v>
      </c>
      <c r="G150" s="35" t="s">
        <v>7</v>
      </c>
      <c r="H150" s="35" t="s">
        <v>27</v>
      </c>
      <c r="I150" s="35" t="s">
        <v>47</v>
      </c>
      <c r="J150" s="11" t="s">
        <v>14</v>
      </c>
      <c r="K150" s="11" t="s">
        <v>15</v>
      </c>
      <c r="L150" s="12" t="s">
        <v>17</v>
      </c>
      <c r="P150" s="29"/>
      <c r="Q150" s="28"/>
    </row>
    <row r="151" spans="1:17">
      <c r="A151">
        <v>1</v>
      </c>
      <c r="B151" s="16" t="s">
        <v>25</v>
      </c>
      <c r="C151" s="2"/>
      <c r="D151" s="3" t="s">
        <v>266</v>
      </c>
      <c r="E151" s="14" t="s">
        <v>29</v>
      </c>
      <c r="F151" s="3" t="s">
        <v>30</v>
      </c>
      <c r="G151" s="36"/>
      <c r="H151" s="36" t="s">
        <v>30</v>
      </c>
      <c r="I151" s="36" t="s">
        <v>30</v>
      </c>
      <c r="J151" s="36"/>
      <c r="K151" s="31"/>
      <c r="L151" s="7" t="s">
        <v>219</v>
      </c>
    </row>
    <row r="152" spans="1:17">
      <c r="A152">
        <v>2</v>
      </c>
      <c r="B152" s="16" t="s">
        <v>119</v>
      </c>
      <c r="C152" s="2"/>
      <c r="D152" s="3" t="s">
        <v>100</v>
      </c>
      <c r="E152" s="14" t="s">
        <v>29</v>
      </c>
      <c r="F152" s="3"/>
      <c r="G152" s="36" t="s">
        <v>30</v>
      </c>
      <c r="H152" s="36" t="s">
        <v>30</v>
      </c>
      <c r="I152" s="36"/>
      <c r="J152" s="36"/>
      <c r="K152" s="31" t="s">
        <v>378</v>
      </c>
      <c r="L152" s="7" t="s">
        <v>27</v>
      </c>
    </row>
    <row r="153" spans="1:17">
      <c r="A153">
        <v>3</v>
      </c>
      <c r="B153" s="16" t="s">
        <v>267</v>
      </c>
      <c r="C153" s="2"/>
      <c r="D153" s="3" t="s">
        <v>268</v>
      </c>
      <c r="E153" s="14" t="s">
        <v>31</v>
      </c>
      <c r="F153" s="3"/>
      <c r="G153" s="36"/>
      <c r="H153" s="36"/>
      <c r="I153" s="36"/>
      <c r="J153" s="36"/>
      <c r="K153" s="31"/>
      <c r="L153" s="7"/>
    </row>
    <row r="154" spans="1:17">
      <c r="A154">
        <v>4</v>
      </c>
      <c r="B154" s="16" t="s">
        <v>97</v>
      </c>
      <c r="C154" s="2"/>
      <c r="D154" s="3" t="s">
        <v>269</v>
      </c>
      <c r="E154" s="14" t="s">
        <v>31</v>
      </c>
      <c r="F154" s="3"/>
      <c r="G154" s="36"/>
      <c r="H154" s="36" t="s">
        <v>30</v>
      </c>
      <c r="I154" s="36"/>
      <c r="J154" s="36"/>
      <c r="K154" s="31"/>
      <c r="L154" s="7"/>
    </row>
    <row r="155" spans="1:17">
      <c r="A155">
        <v>5</v>
      </c>
      <c r="B155" s="16" t="s">
        <v>270</v>
      </c>
      <c r="C155" s="2"/>
      <c r="D155" s="3" t="s">
        <v>271</v>
      </c>
      <c r="E155" s="14" t="s">
        <v>31</v>
      </c>
      <c r="F155" s="3"/>
      <c r="G155" s="36"/>
      <c r="H155" s="36"/>
      <c r="I155" s="36"/>
      <c r="J155" s="36"/>
      <c r="K155" s="31"/>
      <c r="L155" s="7"/>
    </row>
    <row r="156" spans="1:17">
      <c r="A156">
        <v>6</v>
      </c>
      <c r="B156" s="16" t="s">
        <v>272</v>
      </c>
      <c r="C156" s="2"/>
      <c r="D156" s="3" t="s">
        <v>273</v>
      </c>
      <c r="E156" s="14" t="s">
        <v>31</v>
      </c>
      <c r="F156" s="3"/>
      <c r="G156" s="36"/>
      <c r="H156" s="36"/>
      <c r="I156" s="36"/>
      <c r="J156" s="36"/>
      <c r="K156" s="31"/>
      <c r="L156" s="7"/>
    </row>
    <row r="157" spans="1:17">
      <c r="A157">
        <v>7</v>
      </c>
      <c r="B157" s="16" t="s">
        <v>274</v>
      </c>
      <c r="C157" s="2"/>
      <c r="D157" s="3" t="s">
        <v>275</v>
      </c>
      <c r="E157" s="14" t="s">
        <v>31</v>
      </c>
      <c r="F157" s="3"/>
      <c r="G157" s="36"/>
      <c r="H157" s="36"/>
      <c r="I157" s="36"/>
      <c r="J157" s="36"/>
      <c r="K157" s="31"/>
      <c r="L157" s="7"/>
    </row>
    <row r="158" spans="1:17">
      <c r="A158">
        <v>8</v>
      </c>
      <c r="B158" s="16" t="s">
        <v>276</v>
      </c>
      <c r="C158" s="2"/>
      <c r="D158" s="3" t="s">
        <v>277</v>
      </c>
      <c r="E158" s="14" t="s">
        <v>36</v>
      </c>
      <c r="F158" s="3"/>
      <c r="G158" s="36"/>
      <c r="H158" s="36" t="s">
        <v>30</v>
      </c>
      <c r="I158" s="36"/>
      <c r="J158" s="36"/>
      <c r="K158" s="31"/>
      <c r="L158" s="7"/>
    </row>
    <row r="159" spans="1:17">
      <c r="A159">
        <v>9</v>
      </c>
      <c r="B159" s="16" t="s">
        <v>278</v>
      </c>
      <c r="C159" s="2"/>
      <c r="D159" s="3" t="s">
        <v>279</v>
      </c>
      <c r="E159" s="14" t="s">
        <v>31</v>
      </c>
      <c r="F159" s="3"/>
      <c r="G159" s="36"/>
      <c r="H159" s="36"/>
      <c r="I159" s="36"/>
      <c r="J159" s="36"/>
      <c r="K159" s="31"/>
      <c r="L159" s="7"/>
    </row>
    <row r="160" spans="1:17">
      <c r="A160">
        <v>10</v>
      </c>
      <c r="B160" s="16" t="s">
        <v>280</v>
      </c>
      <c r="C160" s="2"/>
      <c r="D160" s="3" t="s">
        <v>281</v>
      </c>
      <c r="E160" s="14" t="s">
        <v>31</v>
      </c>
      <c r="F160" s="36"/>
      <c r="G160" s="36"/>
      <c r="H160" s="36"/>
      <c r="I160" s="36"/>
      <c r="J160" s="30"/>
      <c r="K160" s="3"/>
      <c r="L160" s="7"/>
    </row>
    <row r="161" spans="1:14" ht="19.5" thickBot="1">
      <c r="A161">
        <v>11</v>
      </c>
      <c r="B161" s="17" t="s">
        <v>45</v>
      </c>
      <c r="C161" s="18"/>
      <c r="D161" s="8" t="s">
        <v>17</v>
      </c>
      <c r="E161" s="15" t="s">
        <v>31</v>
      </c>
      <c r="F161" s="37"/>
      <c r="G161" s="37"/>
      <c r="H161" s="37"/>
      <c r="I161" s="37"/>
      <c r="J161" s="38"/>
      <c r="K161" s="8"/>
      <c r="L161" s="9"/>
    </row>
    <row r="162" spans="1:14" ht="19.5" thickTop="1">
      <c r="J162" s="43"/>
    </row>
    <row r="163" spans="1:14">
      <c r="B163" t="str">
        <f>HYPERLINK("#'テーブル設計'!B2","テーブル一覧")</f>
        <v>テーブル一覧</v>
      </c>
    </row>
    <row r="164" spans="1:14" ht="19.5" thickBot="1"/>
    <row r="165" spans="1:14" ht="19.5" thickTop="1">
      <c r="B165" s="19" t="s">
        <v>21</v>
      </c>
      <c r="C165" s="4"/>
      <c r="D165" s="47" t="s">
        <v>429</v>
      </c>
      <c r="E165" s="6"/>
      <c r="F165" t="s">
        <v>284</v>
      </c>
      <c r="M165" t="str">
        <f>+D165</f>
        <v>ifc_elements</v>
      </c>
      <c r="N165">
        <v>165</v>
      </c>
    </row>
    <row r="166" spans="1:14" ht="19.5" thickBot="1">
      <c r="B166" s="17" t="s">
        <v>22</v>
      </c>
      <c r="C166" s="15"/>
      <c r="D166" s="21" t="s">
        <v>285</v>
      </c>
      <c r="E166" s="20"/>
    </row>
    <row r="167" spans="1:14" ht="19.5" thickTop="1"/>
    <row r="168" spans="1:14">
      <c r="B168" s="1" t="s">
        <v>23</v>
      </c>
      <c r="C168" s="14"/>
    </row>
    <row r="173" spans="1:14">
      <c r="B173" s="1" t="s">
        <v>24</v>
      </c>
      <c r="C173" s="14"/>
    </row>
    <row r="174" spans="1:14">
      <c r="C174" t="s">
        <v>25</v>
      </c>
    </row>
    <row r="176" spans="1:14">
      <c r="B176" s="1" t="s">
        <v>26</v>
      </c>
      <c r="C176" s="14"/>
    </row>
    <row r="177" spans="1:17">
      <c r="C177" s="10"/>
    </row>
    <row r="182" spans="1:17">
      <c r="B182" s="1" t="s">
        <v>49</v>
      </c>
      <c r="C182" s="14"/>
    </row>
    <row r="183" spans="1:17">
      <c r="C183" s="24" t="s">
        <v>808</v>
      </c>
    </row>
    <row r="184" spans="1:17">
      <c r="C184" t="s">
        <v>809</v>
      </c>
    </row>
    <row r="189" spans="1:17" ht="19.5" thickBot="1"/>
    <row r="190" spans="1:17" ht="19.5" thickTop="1">
      <c r="B190" s="94" t="s">
        <v>2</v>
      </c>
      <c r="C190" s="98"/>
      <c r="D190" s="11" t="s">
        <v>3</v>
      </c>
      <c r="E190" s="13" t="s">
        <v>4</v>
      </c>
      <c r="F190" s="35" t="s">
        <v>5</v>
      </c>
      <c r="G190" s="35" t="s">
        <v>7</v>
      </c>
      <c r="H190" s="35" t="s">
        <v>27</v>
      </c>
      <c r="I190" s="35" t="s">
        <v>47</v>
      </c>
      <c r="J190" s="11" t="s">
        <v>14</v>
      </c>
      <c r="K190" s="11" t="s">
        <v>15</v>
      </c>
      <c r="L190" s="12" t="s">
        <v>17</v>
      </c>
      <c r="P190" s="29"/>
      <c r="Q190" s="28"/>
    </row>
    <row r="191" spans="1:17">
      <c r="A191">
        <v>1</v>
      </c>
      <c r="B191" s="16" t="s">
        <v>25</v>
      </c>
      <c r="C191" s="14"/>
      <c r="D191" s="67" t="s">
        <v>367</v>
      </c>
      <c r="E191" s="14" t="s">
        <v>29</v>
      </c>
      <c r="F191" s="3" t="s">
        <v>30</v>
      </c>
      <c r="G191" s="36"/>
      <c r="H191" s="36" t="s">
        <v>30</v>
      </c>
      <c r="I191" s="36"/>
      <c r="J191" s="36"/>
      <c r="K191" s="31"/>
      <c r="L191" s="7" t="s">
        <v>219</v>
      </c>
    </row>
    <row r="192" spans="1:17">
      <c r="A192">
        <v>2</v>
      </c>
      <c r="B192" s="16" t="s">
        <v>341</v>
      </c>
      <c r="C192" s="14"/>
      <c r="D192" s="67" t="s">
        <v>430</v>
      </c>
      <c r="E192" s="14" t="s">
        <v>29</v>
      </c>
      <c r="F192" s="3"/>
      <c r="G192" s="64" t="s">
        <v>30</v>
      </c>
      <c r="H192" s="64" t="s">
        <v>30</v>
      </c>
      <c r="I192" s="36"/>
      <c r="J192" s="36"/>
      <c r="K192" s="30" t="s">
        <v>431</v>
      </c>
      <c r="L192" s="26" t="s">
        <v>432</v>
      </c>
    </row>
    <row r="193" spans="1:12">
      <c r="A193">
        <v>3</v>
      </c>
      <c r="B193" s="85" t="s">
        <v>488</v>
      </c>
      <c r="C193" s="14"/>
      <c r="D193" s="67" t="s">
        <v>487</v>
      </c>
      <c r="E193" s="14" t="s">
        <v>29</v>
      </c>
      <c r="F193" s="3"/>
      <c r="G193" s="64"/>
      <c r="H193" s="64"/>
      <c r="I193" s="36"/>
      <c r="J193" s="36"/>
      <c r="K193" s="30"/>
      <c r="L193" s="26" t="s">
        <v>490</v>
      </c>
    </row>
    <row r="194" spans="1:12">
      <c r="A194">
        <v>4</v>
      </c>
      <c r="B194" s="16" t="s">
        <v>319</v>
      </c>
      <c r="C194" s="14"/>
      <c r="D194" s="3" t="s">
        <v>320</v>
      </c>
      <c r="E194" s="3" t="s">
        <v>31</v>
      </c>
      <c r="F194" s="3"/>
      <c r="G194" s="36"/>
      <c r="H194" s="36" t="s">
        <v>30</v>
      </c>
      <c r="I194" s="36"/>
      <c r="J194" s="36"/>
      <c r="K194" s="31"/>
      <c r="L194" s="14" t="s">
        <v>433</v>
      </c>
    </row>
    <row r="195" spans="1:12">
      <c r="A195">
        <v>5</v>
      </c>
      <c r="B195" s="16" t="s">
        <v>321</v>
      </c>
      <c r="C195" s="14"/>
      <c r="D195" s="3" t="s">
        <v>322</v>
      </c>
      <c r="E195" s="3" t="s">
        <v>31</v>
      </c>
      <c r="F195" s="3"/>
      <c r="G195" s="36"/>
      <c r="H195" s="36" t="s">
        <v>30</v>
      </c>
      <c r="I195" s="36"/>
      <c r="J195" s="36"/>
      <c r="K195" s="31"/>
      <c r="L195" s="14" t="s">
        <v>434</v>
      </c>
    </row>
    <row r="196" spans="1:12">
      <c r="A196">
        <v>6</v>
      </c>
      <c r="B196" s="16" t="s">
        <v>32</v>
      </c>
      <c r="C196" s="14"/>
      <c r="D196" s="3" t="s">
        <v>323</v>
      </c>
      <c r="E196" s="3" t="s">
        <v>31</v>
      </c>
      <c r="F196" s="3"/>
      <c r="G196" s="36"/>
      <c r="H196" s="36"/>
      <c r="I196" s="36"/>
      <c r="J196" s="36"/>
      <c r="K196" s="31"/>
      <c r="L196" s="14" t="s">
        <v>435</v>
      </c>
    </row>
    <row r="197" spans="1:12">
      <c r="A197">
        <v>7</v>
      </c>
      <c r="B197" s="16" t="s">
        <v>436</v>
      </c>
      <c r="C197" s="2"/>
      <c r="D197" s="3" t="s">
        <v>437</v>
      </c>
      <c r="E197" s="3" t="s">
        <v>31</v>
      </c>
      <c r="F197" s="3"/>
      <c r="G197" s="36"/>
      <c r="H197" s="36"/>
      <c r="I197" s="36"/>
      <c r="J197" s="36"/>
      <c r="K197" s="31"/>
      <c r="L197" s="14" t="s">
        <v>435</v>
      </c>
    </row>
    <row r="198" spans="1:12">
      <c r="A198">
        <v>8</v>
      </c>
      <c r="B198" s="16" t="s">
        <v>438</v>
      </c>
      <c r="C198" s="2"/>
      <c r="D198" s="3" t="s">
        <v>439</v>
      </c>
      <c r="E198" s="3" t="s">
        <v>31</v>
      </c>
      <c r="F198" s="3"/>
      <c r="G198" s="36"/>
      <c r="H198" s="36"/>
      <c r="I198" s="36"/>
      <c r="J198" s="36"/>
      <c r="K198" s="31"/>
      <c r="L198" s="14" t="s">
        <v>435</v>
      </c>
    </row>
    <row r="199" spans="1:12">
      <c r="A199">
        <v>9</v>
      </c>
      <c r="B199" s="16" t="s">
        <v>324</v>
      </c>
      <c r="C199" s="2"/>
      <c r="D199" s="3" t="s">
        <v>325</v>
      </c>
      <c r="E199" s="3" t="s">
        <v>31</v>
      </c>
      <c r="F199" s="3"/>
      <c r="G199" s="36"/>
      <c r="H199" s="36"/>
      <c r="I199" s="36"/>
      <c r="J199" s="36"/>
      <c r="K199" s="31"/>
      <c r="L199" s="14" t="s">
        <v>435</v>
      </c>
    </row>
    <row r="200" spans="1:12">
      <c r="A200">
        <v>10</v>
      </c>
      <c r="B200" s="16" t="s">
        <v>440</v>
      </c>
      <c r="C200" s="2"/>
      <c r="D200" s="3" t="s">
        <v>441</v>
      </c>
      <c r="E200" s="3" t="s">
        <v>31</v>
      </c>
      <c r="F200" s="3"/>
      <c r="G200" s="36"/>
      <c r="H200" s="36"/>
      <c r="I200" s="36"/>
      <c r="J200" s="36"/>
      <c r="K200" s="31"/>
      <c r="L200" s="14" t="s">
        <v>435</v>
      </c>
    </row>
    <row r="201" spans="1:12">
      <c r="A201">
        <v>11</v>
      </c>
      <c r="B201" s="16" t="s">
        <v>229</v>
      </c>
      <c r="C201" s="2"/>
      <c r="D201" s="3" t="s">
        <v>147</v>
      </c>
      <c r="E201" s="3" t="s">
        <v>29</v>
      </c>
      <c r="F201" s="3"/>
      <c r="G201" s="36" t="s">
        <v>30</v>
      </c>
      <c r="H201" s="36"/>
      <c r="I201" s="36"/>
      <c r="J201" s="36"/>
      <c r="K201" s="31" t="s">
        <v>379</v>
      </c>
      <c r="L201" s="14" t="s">
        <v>442</v>
      </c>
    </row>
    <row r="202" spans="1:12">
      <c r="A202">
        <v>12</v>
      </c>
      <c r="B202" s="16" t="s">
        <v>326</v>
      </c>
      <c r="C202" s="2"/>
      <c r="D202" s="3" t="s">
        <v>327</v>
      </c>
      <c r="E202" s="3" t="s">
        <v>31</v>
      </c>
      <c r="F202" s="3"/>
      <c r="G202" s="36"/>
      <c r="H202" s="36"/>
      <c r="I202" s="36"/>
      <c r="J202" s="36"/>
      <c r="K202" s="30"/>
      <c r="L202" s="14" t="s">
        <v>435</v>
      </c>
    </row>
    <row r="203" spans="1:12">
      <c r="A203">
        <v>13</v>
      </c>
      <c r="B203" s="65" t="s">
        <v>328</v>
      </c>
      <c r="C203" s="2"/>
      <c r="D203" s="3" t="s">
        <v>329</v>
      </c>
      <c r="E203" s="3" t="s">
        <v>31</v>
      </c>
      <c r="F203" s="3"/>
      <c r="G203" s="64"/>
      <c r="H203" s="36"/>
      <c r="I203" s="36"/>
      <c r="J203" s="36"/>
      <c r="K203" s="31"/>
      <c r="L203" s="14" t="s">
        <v>435</v>
      </c>
    </row>
    <row r="204" spans="1:12">
      <c r="A204">
        <v>14</v>
      </c>
      <c r="B204" s="16" t="s">
        <v>330</v>
      </c>
      <c r="C204" s="2"/>
      <c r="D204" s="3" t="s">
        <v>331</v>
      </c>
      <c r="E204" s="3" t="s">
        <v>212</v>
      </c>
      <c r="F204" s="3"/>
      <c r="G204" s="36"/>
      <c r="H204" s="36"/>
      <c r="I204" s="36"/>
      <c r="J204" s="36"/>
      <c r="K204" s="30"/>
      <c r="L204" s="14" t="s">
        <v>435</v>
      </c>
    </row>
    <row r="205" spans="1:12">
      <c r="A205">
        <v>15</v>
      </c>
      <c r="B205" s="16" t="s">
        <v>210</v>
      </c>
      <c r="C205" s="2"/>
      <c r="D205" s="3" t="s">
        <v>211</v>
      </c>
      <c r="E205" s="3" t="s">
        <v>212</v>
      </c>
      <c r="F205" s="3"/>
      <c r="G205" s="36"/>
      <c r="H205" s="36"/>
      <c r="I205" s="36"/>
      <c r="J205" s="36"/>
      <c r="K205" s="31"/>
      <c r="L205" s="14" t="s">
        <v>435</v>
      </c>
    </row>
    <row r="206" spans="1:12">
      <c r="A206">
        <v>16</v>
      </c>
      <c r="B206" s="16" t="s">
        <v>215</v>
      </c>
      <c r="C206" s="2"/>
      <c r="D206" s="3" t="s">
        <v>216</v>
      </c>
      <c r="E206" s="3" t="s">
        <v>212</v>
      </c>
      <c r="F206" s="3"/>
      <c r="G206" s="36"/>
      <c r="H206" s="36"/>
      <c r="I206" s="36"/>
      <c r="J206" s="36"/>
      <c r="K206" s="31"/>
      <c r="L206" s="14" t="s">
        <v>435</v>
      </c>
    </row>
    <row r="207" spans="1:12">
      <c r="A207">
        <v>17</v>
      </c>
      <c r="B207" s="16" t="s">
        <v>469</v>
      </c>
      <c r="C207" s="2"/>
      <c r="D207" s="41" t="s">
        <v>807</v>
      </c>
      <c r="E207" s="3" t="s">
        <v>212</v>
      </c>
      <c r="F207" s="3"/>
      <c r="G207" s="36"/>
      <c r="H207" s="36"/>
      <c r="I207" s="36"/>
      <c r="J207" s="36"/>
      <c r="K207" s="31"/>
      <c r="L207" s="14" t="s">
        <v>442</v>
      </c>
    </row>
    <row r="208" spans="1:12">
      <c r="A208">
        <v>18</v>
      </c>
      <c r="B208" s="16" t="s">
        <v>443</v>
      </c>
      <c r="C208" s="2"/>
      <c r="D208" s="3" t="s">
        <v>444</v>
      </c>
      <c r="E208" s="3" t="s">
        <v>212</v>
      </c>
      <c r="F208" s="3"/>
      <c r="G208" s="36"/>
      <c r="H208" s="36"/>
      <c r="I208" s="36"/>
      <c r="J208" s="36"/>
      <c r="K208" s="31"/>
      <c r="L208" s="14" t="s">
        <v>435</v>
      </c>
    </row>
    <row r="209" spans="1:14">
      <c r="A209">
        <v>19</v>
      </c>
      <c r="B209" s="16" t="s">
        <v>761</v>
      </c>
      <c r="C209" s="2"/>
      <c r="D209" s="3" t="s">
        <v>762</v>
      </c>
      <c r="E209" s="3" t="s">
        <v>31</v>
      </c>
      <c r="F209" s="3"/>
      <c r="G209" s="36"/>
      <c r="H209" s="36"/>
      <c r="I209" s="36"/>
      <c r="J209" s="36"/>
      <c r="K209" s="31"/>
      <c r="L209" s="14" t="s">
        <v>435</v>
      </c>
    </row>
    <row r="210" spans="1:14">
      <c r="A210">
        <v>20</v>
      </c>
      <c r="B210" s="16" t="s">
        <v>260</v>
      </c>
      <c r="C210" s="2"/>
      <c r="D210" s="3" t="s">
        <v>202</v>
      </c>
      <c r="E210" s="3" t="s">
        <v>29</v>
      </c>
      <c r="F210" s="3"/>
      <c r="G210" s="36" t="s">
        <v>30</v>
      </c>
      <c r="H210" s="36"/>
      <c r="I210" s="36" t="s">
        <v>30</v>
      </c>
      <c r="J210" s="36"/>
      <c r="K210" s="31" t="s">
        <v>380</v>
      </c>
      <c r="L210" s="14" t="s">
        <v>442</v>
      </c>
    </row>
    <row r="211" spans="1:14">
      <c r="A211">
        <v>21</v>
      </c>
      <c r="B211" s="16" t="s">
        <v>445</v>
      </c>
      <c r="C211" s="2"/>
      <c r="D211" s="3" t="s">
        <v>446</v>
      </c>
      <c r="E211" s="3" t="s">
        <v>31</v>
      </c>
      <c r="F211" s="3"/>
      <c r="G211" s="64"/>
      <c r="H211" s="36"/>
      <c r="I211" s="64"/>
      <c r="J211" s="36"/>
      <c r="K211" s="31"/>
      <c r="L211" s="14" t="s">
        <v>447</v>
      </c>
    </row>
    <row r="212" spans="1:14">
      <c r="A212">
        <v>22</v>
      </c>
      <c r="B212" s="16" t="s">
        <v>189</v>
      </c>
      <c r="C212" s="2"/>
      <c r="D212" s="3" t="s">
        <v>180</v>
      </c>
      <c r="E212" s="3" t="s">
        <v>29</v>
      </c>
      <c r="F212" s="3"/>
      <c r="G212" s="64" t="s">
        <v>30</v>
      </c>
      <c r="H212" s="36"/>
      <c r="I212" s="64" t="s">
        <v>30</v>
      </c>
      <c r="J212" s="36"/>
      <c r="K212" s="30" t="s">
        <v>381</v>
      </c>
      <c r="L212" s="14" t="s">
        <v>442</v>
      </c>
    </row>
    <row r="213" spans="1:14" ht="19.5" thickBot="1">
      <c r="A213">
        <v>23</v>
      </c>
      <c r="B213" s="17" t="s">
        <v>128</v>
      </c>
      <c r="C213" s="18"/>
      <c r="D213" s="8" t="s">
        <v>17</v>
      </c>
      <c r="E213" s="15" t="s">
        <v>31</v>
      </c>
      <c r="F213" s="37"/>
      <c r="G213" s="37"/>
      <c r="H213" s="37"/>
      <c r="I213" s="37"/>
      <c r="J213" s="38"/>
      <c r="K213" s="8"/>
      <c r="L213" s="9"/>
    </row>
    <row r="214" spans="1:14" ht="19.5" thickTop="1">
      <c r="J214" s="43"/>
    </row>
    <row r="215" spans="1:14">
      <c r="B215" t="str">
        <f>HYPERLINK("#'テーブル設計'!B2","テーブル一覧")</f>
        <v>テーブル一覧</v>
      </c>
    </row>
    <row r="216" spans="1:14" ht="19.5" thickBot="1"/>
    <row r="217" spans="1:14" ht="19.5" thickTop="1">
      <c r="B217" s="19" t="s">
        <v>21</v>
      </c>
      <c r="C217" s="4"/>
      <c r="D217" s="5" t="s">
        <v>287</v>
      </c>
      <c r="E217" s="6"/>
      <c r="F217" t="s">
        <v>286</v>
      </c>
      <c r="M217" t="str">
        <f>+D217</f>
        <v>element_properties</v>
      </c>
      <c r="N217">
        <v>215</v>
      </c>
    </row>
    <row r="218" spans="1:14" ht="19.5" thickBot="1">
      <c r="B218" s="17" t="s">
        <v>22</v>
      </c>
      <c r="C218" s="15"/>
      <c r="D218" s="21" t="s">
        <v>288</v>
      </c>
      <c r="E218" s="20"/>
    </row>
    <row r="219" spans="1:14" ht="19.5" thickTop="1"/>
    <row r="220" spans="1:14">
      <c r="B220" s="1" t="s">
        <v>23</v>
      </c>
      <c r="C220" s="14"/>
    </row>
    <row r="225" spans="2:3">
      <c r="B225" s="1" t="s">
        <v>24</v>
      </c>
      <c r="C225" s="14"/>
    </row>
    <row r="226" spans="2:3">
      <c r="C226" t="s">
        <v>25</v>
      </c>
    </row>
    <row r="228" spans="2:3">
      <c r="B228" s="1" t="s">
        <v>26</v>
      </c>
      <c r="C228" s="14"/>
    </row>
    <row r="229" spans="2:3">
      <c r="C229" s="10"/>
    </row>
    <row r="233" spans="2:3">
      <c r="B233" s="1" t="s">
        <v>49</v>
      </c>
      <c r="C233" s="14"/>
    </row>
    <row r="234" spans="2:3">
      <c r="C234" s="24" t="s">
        <v>357</v>
      </c>
    </row>
    <row r="235" spans="2:3">
      <c r="C235" s="24" t="s">
        <v>494</v>
      </c>
    </row>
    <row r="236" spans="2:3">
      <c r="C236" s="24" t="s">
        <v>495</v>
      </c>
    </row>
    <row r="240" spans="2:3" ht="19.5" thickBot="1"/>
    <row r="241" spans="1:17" ht="19.5" thickTop="1">
      <c r="B241" s="94" t="s">
        <v>2</v>
      </c>
      <c r="C241" s="95"/>
      <c r="D241" s="11" t="s">
        <v>3</v>
      </c>
      <c r="E241" s="13" t="s">
        <v>4</v>
      </c>
      <c r="F241" s="35" t="s">
        <v>5</v>
      </c>
      <c r="G241" s="35" t="s">
        <v>7</v>
      </c>
      <c r="H241" s="35" t="s">
        <v>27</v>
      </c>
      <c r="I241" s="35" t="s">
        <v>47</v>
      </c>
      <c r="J241" s="11" t="s">
        <v>14</v>
      </c>
      <c r="K241" s="11" t="s">
        <v>15</v>
      </c>
      <c r="L241" s="12" t="s">
        <v>17</v>
      </c>
      <c r="P241" s="29"/>
      <c r="Q241" s="28"/>
    </row>
    <row r="242" spans="1:17">
      <c r="A242">
        <v>1</v>
      </c>
      <c r="B242" s="16" t="s">
        <v>25</v>
      </c>
      <c r="C242" s="2"/>
      <c r="D242" s="41" t="s">
        <v>349</v>
      </c>
      <c r="E242" s="14" t="s">
        <v>29</v>
      </c>
      <c r="F242" s="3" t="s">
        <v>30</v>
      </c>
      <c r="G242" s="36"/>
      <c r="H242" s="36" t="s">
        <v>30</v>
      </c>
      <c r="I242" s="36" t="s">
        <v>30</v>
      </c>
      <c r="J242" s="36"/>
      <c r="K242" s="31"/>
      <c r="L242" s="40" t="s">
        <v>356</v>
      </c>
    </row>
    <row r="243" spans="1:17">
      <c r="A243">
        <v>2</v>
      </c>
      <c r="B243" s="16" t="s">
        <v>342</v>
      </c>
      <c r="C243" s="2"/>
      <c r="D243" s="77" t="s">
        <v>367</v>
      </c>
      <c r="E243" s="14" t="s">
        <v>29</v>
      </c>
      <c r="F243" s="3"/>
      <c r="G243" s="64" t="s">
        <v>348</v>
      </c>
      <c r="H243" s="64" t="s">
        <v>338</v>
      </c>
      <c r="I243" s="36"/>
      <c r="J243" s="36"/>
      <c r="K243" s="31" t="s">
        <v>382</v>
      </c>
      <c r="L243" s="7" t="s">
        <v>350</v>
      </c>
    </row>
    <row r="244" spans="1:17">
      <c r="A244">
        <v>3</v>
      </c>
      <c r="B244" s="16" t="s">
        <v>343</v>
      </c>
      <c r="C244" s="2"/>
      <c r="D244" s="3" t="s">
        <v>369</v>
      </c>
      <c r="E244" s="27" t="s">
        <v>368</v>
      </c>
      <c r="F244" s="3"/>
      <c r="G244" s="36"/>
      <c r="H244" s="36"/>
      <c r="I244" s="36"/>
      <c r="J244" s="36"/>
      <c r="K244" s="31"/>
      <c r="L244" s="7" t="s">
        <v>351</v>
      </c>
    </row>
    <row r="245" spans="1:17">
      <c r="A245">
        <v>4</v>
      </c>
      <c r="B245" s="16" t="s">
        <v>344</v>
      </c>
      <c r="C245" s="2"/>
      <c r="D245" s="3" t="s">
        <v>370</v>
      </c>
      <c r="E245" s="27" t="s">
        <v>368</v>
      </c>
      <c r="F245" s="3"/>
      <c r="G245" s="36"/>
      <c r="H245" s="36" t="s">
        <v>30</v>
      </c>
      <c r="I245" s="36"/>
      <c r="J245" s="36"/>
      <c r="K245" s="31"/>
      <c r="L245" s="7" t="s">
        <v>352</v>
      </c>
    </row>
    <row r="246" spans="1:17">
      <c r="A246">
        <v>5</v>
      </c>
      <c r="B246" s="16" t="s">
        <v>345</v>
      </c>
      <c r="C246" s="2"/>
      <c r="D246" s="3" t="s">
        <v>371</v>
      </c>
      <c r="E246" s="27" t="s">
        <v>368</v>
      </c>
      <c r="F246" s="3"/>
      <c r="G246" s="36"/>
      <c r="H246" s="36" t="s">
        <v>30</v>
      </c>
      <c r="I246" s="36"/>
      <c r="J246" s="36"/>
      <c r="K246" s="31"/>
      <c r="L246" s="7" t="s">
        <v>353</v>
      </c>
    </row>
    <row r="247" spans="1:17">
      <c r="A247">
        <v>6</v>
      </c>
      <c r="B247" s="16" t="s">
        <v>346</v>
      </c>
      <c r="C247" s="2"/>
      <c r="D247" s="3" t="s">
        <v>372</v>
      </c>
      <c r="E247" s="27" t="s">
        <v>368</v>
      </c>
      <c r="F247" s="3"/>
      <c r="G247" s="36"/>
      <c r="H247" s="36"/>
      <c r="I247" s="36"/>
      <c r="J247" s="36"/>
      <c r="K247" s="31"/>
      <c r="L247" s="7" t="s">
        <v>354</v>
      </c>
    </row>
    <row r="248" spans="1:17" ht="19.5" thickBot="1">
      <c r="A248">
        <v>7</v>
      </c>
      <c r="B248" s="17" t="s">
        <v>347</v>
      </c>
      <c r="C248" s="18"/>
      <c r="D248" s="8" t="s">
        <v>366</v>
      </c>
      <c r="E248" s="78" t="s">
        <v>368</v>
      </c>
      <c r="F248" s="8"/>
      <c r="G248" s="37"/>
      <c r="H248" s="37"/>
      <c r="I248" s="37"/>
      <c r="J248" s="37"/>
      <c r="K248" s="38"/>
      <c r="L248" s="9" t="s">
        <v>355</v>
      </c>
    </row>
    <row r="249" spans="1:17" ht="19.5" thickTop="1">
      <c r="J249" s="43"/>
    </row>
    <row r="250" spans="1:17">
      <c r="B250" t="str">
        <f>HYPERLINK("#'テーブル設計'!B2","テーブル一覧")</f>
        <v>テーブル一覧</v>
      </c>
    </row>
    <row r="251" spans="1:17" ht="19.5" thickBot="1"/>
    <row r="252" spans="1:17" ht="19.5" thickTop="1">
      <c r="B252" s="19" t="s">
        <v>21</v>
      </c>
      <c r="C252" s="4"/>
      <c r="D252" s="5" t="s">
        <v>450</v>
      </c>
      <c r="E252" s="6"/>
      <c r="F252" s="24" t="s">
        <v>454</v>
      </c>
      <c r="M252" t="str">
        <f>+D252</f>
        <v>ifc_ports</v>
      </c>
      <c r="N252">
        <v>250</v>
      </c>
    </row>
    <row r="253" spans="1:17" ht="19.5" thickBot="1">
      <c r="B253" s="17" t="s">
        <v>22</v>
      </c>
      <c r="C253" s="15"/>
      <c r="D253" s="76" t="s">
        <v>449</v>
      </c>
      <c r="E253" s="20"/>
    </row>
    <row r="254" spans="1:17" ht="19.5" thickTop="1"/>
    <row r="255" spans="1:17">
      <c r="B255" s="1" t="s">
        <v>23</v>
      </c>
      <c r="C255" s="14"/>
    </row>
    <row r="256" spans="1:17">
      <c r="C256" s="24" t="s">
        <v>486</v>
      </c>
    </row>
    <row r="260" spans="2:3">
      <c r="B260" s="1" t="s">
        <v>24</v>
      </c>
      <c r="C260" s="14"/>
    </row>
    <row r="261" spans="2:3">
      <c r="C261" t="s">
        <v>25</v>
      </c>
    </row>
    <row r="263" spans="2:3">
      <c r="B263" s="1" t="s">
        <v>26</v>
      </c>
      <c r="C263" s="14"/>
    </row>
    <row r="264" spans="2:3">
      <c r="C264" s="10"/>
    </row>
    <row r="269" spans="2:3">
      <c r="B269" s="1" t="s">
        <v>49</v>
      </c>
      <c r="C269" s="14"/>
    </row>
    <row r="270" spans="2:3">
      <c r="C270" t="s">
        <v>491</v>
      </c>
    </row>
    <row r="271" spans="2:3">
      <c r="C271" t="s">
        <v>492</v>
      </c>
    </row>
    <row r="278" spans="1:17" ht="19.5" thickBot="1"/>
    <row r="279" spans="1:17" ht="19.5" thickTop="1">
      <c r="B279" s="94" t="s">
        <v>2</v>
      </c>
      <c r="C279" s="95"/>
      <c r="D279" s="11" t="s">
        <v>3</v>
      </c>
      <c r="E279" s="13" t="s">
        <v>4</v>
      </c>
      <c r="F279" s="35" t="s">
        <v>5</v>
      </c>
      <c r="G279" s="35" t="s">
        <v>7</v>
      </c>
      <c r="H279" s="35" t="s">
        <v>27</v>
      </c>
      <c r="I279" s="35" t="s">
        <v>47</v>
      </c>
      <c r="J279" s="11" t="s">
        <v>14</v>
      </c>
      <c r="K279" s="11" t="s">
        <v>15</v>
      </c>
      <c r="L279" s="12" t="s">
        <v>17</v>
      </c>
      <c r="P279" s="29"/>
      <c r="Q279" s="28"/>
    </row>
    <row r="280" spans="1:17">
      <c r="A280">
        <v>1</v>
      </c>
      <c r="B280" s="16" t="s">
        <v>25</v>
      </c>
      <c r="C280" s="2"/>
      <c r="D280" s="3" t="s">
        <v>456</v>
      </c>
      <c r="E280" s="14" t="s">
        <v>29</v>
      </c>
      <c r="F280" s="3" t="s">
        <v>405</v>
      </c>
      <c r="G280" s="36"/>
      <c r="H280" s="36" t="s">
        <v>405</v>
      </c>
      <c r="I280" s="36"/>
      <c r="J280" s="36"/>
      <c r="K280" s="31"/>
      <c r="L280" s="24" t="s">
        <v>219</v>
      </c>
    </row>
    <row r="281" spans="1:17">
      <c r="A281">
        <v>2</v>
      </c>
      <c r="B281" s="16" t="s">
        <v>341</v>
      </c>
      <c r="C281" s="2"/>
      <c r="D281" s="3" t="s">
        <v>430</v>
      </c>
      <c r="E281" s="14" t="s">
        <v>29</v>
      </c>
      <c r="F281" s="3"/>
      <c r="G281" s="36" t="s">
        <v>405</v>
      </c>
      <c r="H281" s="36" t="s">
        <v>405</v>
      </c>
      <c r="I281" s="36"/>
      <c r="J281" s="36"/>
      <c r="K281" s="31" t="s">
        <v>431</v>
      </c>
      <c r="L281" s="7"/>
    </row>
    <row r="282" spans="1:17">
      <c r="A282">
        <v>3</v>
      </c>
      <c r="B282" s="16" t="s">
        <v>342</v>
      </c>
      <c r="C282" s="2"/>
      <c r="D282" s="3" t="s">
        <v>367</v>
      </c>
      <c r="E282" s="14" t="s">
        <v>29</v>
      </c>
      <c r="F282" s="3"/>
      <c r="G282" s="36" t="s">
        <v>405</v>
      </c>
      <c r="H282" s="36" t="s">
        <v>405</v>
      </c>
      <c r="I282" s="36"/>
      <c r="J282" s="36"/>
      <c r="K282" s="31" t="s">
        <v>382</v>
      </c>
      <c r="L282" s="7"/>
    </row>
    <row r="283" spans="1:17">
      <c r="A283">
        <v>4</v>
      </c>
      <c r="B283" s="16" t="s">
        <v>457</v>
      </c>
      <c r="C283" s="2"/>
      <c r="D283" s="3" t="s">
        <v>458</v>
      </c>
      <c r="E283" s="14" t="s">
        <v>29</v>
      </c>
      <c r="F283" s="3"/>
      <c r="G283" s="36"/>
      <c r="H283" s="36"/>
      <c r="I283" s="36"/>
      <c r="J283" s="36"/>
      <c r="K283" s="31"/>
      <c r="L283" s="7" t="s">
        <v>459</v>
      </c>
    </row>
    <row r="284" spans="1:17">
      <c r="A284">
        <v>5</v>
      </c>
      <c r="B284" s="16" t="s">
        <v>319</v>
      </c>
      <c r="C284" s="2"/>
      <c r="D284" s="3" t="s">
        <v>320</v>
      </c>
      <c r="E284" s="14" t="s">
        <v>31</v>
      </c>
      <c r="F284" s="3"/>
      <c r="G284" s="36"/>
      <c r="H284" s="36"/>
      <c r="I284" s="36"/>
      <c r="J284" s="36"/>
      <c r="K284" s="31"/>
      <c r="L284" s="7" t="s">
        <v>460</v>
      </c>
    </row>
    <row r="285" spans="1:17">
      <c r="A285">
        <v>6</v>
      </c>
      <c r="B285" s="16" t="s">
        <v>32</v>
      </c>
      <c r="C285" s="2"/>
      <c r="D285" s="3" t="s">
        <v>461</v>
      </c>
      <c r="E285" s="14" t="s">
        <v>31</v>
      </c>
      <c r="F285" s="3"/>
      <c r="G285" s="36"/>
      <c r="H285" s="36"/>
      <c r="I285" s="36"/>
      <c r="J285" s="36"/>
      <c r="K285" s="31"/>
      <c r="L285" s="7"/>
    </row>
    <row r="286" spans="1:17">
      <c r="A286">
        <v>7</v>
      </c>
      <c r="B286" s="16" t="s">
        <v>89</v>
      </c>
      <c r="C286" s="2"/>
      <c r="D286" s="3" t="s">
        <v>462</v>
      </c>
      <c r="E286" s="14" t="s">
        <v>31</v>
      </c>
      <c r="F286" s="3"/>
      <c r="G286" s="36"/>
      <c r="H286" s="36"/>
      <c r="I286" s="36"/>
      <c r="J286" s="36"/>
      <c r="K286" s="31"/>
      <c r="L286" s="7"/>
    </row>
    <row r="287" spans="1:17">
      <c r="A287">
        <v>8</v>
      </c>
      <c r="B287" s="16" t="s">
        <v>463</v>
      </c>
      <c r="C287" s="2"/>
      <c r="D287" s="3" t="s">
        <v>464</v>
      </c>
      <c r="E287" s="14" t="s">
        <v>31</v>
      </c>
      <c r="F287" s="3"/>
      <c r="G287" s="36"/>
      <c r="H287" s="36"/>
      <c r="I287" s="36"/>
      <c r="J287" s="36"/>
      <c r="K287" s="31"/>
      <c r="L287" s="7" t="s">
        <v>465</v>
      </c>
    </row>
    <row r="288" spans="1:17">
      <c r="A288">
        <v>9</v>
      </c>
      <c r="B288" s="16" t="s">
        <v>438</v>
      </c>
      <c r="C288" s="2"/>
      <c r="D288" s="3" t="s">
        <v>439</v>
      </c>
      <c r="E288" s="14" t="s">
        <v>31</v>
      </c>
      <c r="F288" s="3"/>
      <c r="G288" s="36"/>
      <c r="H288" s="36"/>
      <c r="I288" s="36"/>
      <c r="J288" s="36"/>
      <c r="K288" s="31"/>
      <c r="L288" s="7"/>
    </row>
    <row r="289" spans="1:14">
      <c r="A289">
        <v>10</v>
      </c>
      <c r="B289" s="16" t="s">
        <v>466</v>
      </c>
      <c r="C289" s="2"/>
      <c r="D289" s="3" t="s">
        <v>467</v>
      </c>
      <c r="E289" s="14" t="s">
        <v>31</v>
      </c>
      <c r="F289" s="3"/>
      <c r="G289" s="36"/>
      <c r="H289" s="36"/>
      <c r="I289" s="36"/>
      <c r="J289" s="36"/>
      <c r="K289" s="31"/>
      <c r="L289" s="7" t="s">
        <v>468</v>
      </c>
    </row>
    <row r="290" spans="1:14">
      <c r="A290">
        <v>11</v>
      </c>
      <c r="B290" s="16" t="s">
        <v>469</v>
      </c>
      <c r="C290" s="2"/>
      <c r="D290" s="3" t="s">
        <v>470</v>
      </c>
      <c r="E290" s="14" t="s">
        <v>212</v>
      </c>
      <c r="F290" s="3"/>
      <c r="G290" s="36"/>
      <c r="H290" s="36"/>
      <c r="I290" s="36"/>
      <c r="J290" s="36"/>
      <c r="K290" s="31"/>
      <c r="L290" s="7" t="s">
        <v>471</v>
      </c>
    </row>
    <row r="291" spans="1:14">
      <c r="A291">
        <v>12</v>
      </c>
      <c r="B291" s="16" t="s">
        <v>128</v>
      </c>
      <c r="C291" s="2"/>
      <c r="D291" s="3" t="s">
        <v>17</v>
      </c>
      <c r="E291" s="14" t="s">
        <v>31</v>
      </c>
      <c r="F291" s="3"/>
      <c r="G291" s="36"/>
      <c r="H291" s="36"/>
      <c r="I291" s="36"/>
      <c r="J291" s="36"/>
      <c r="K291" s="31"/>
      <c r="L291" s="7"/>
    </row>
    <row r="292" spans="1:14" ht="19.5" thickBot="1">
      <c r="A292">
        <v>13</v>
      </c>
      <c r="B292" s="17" t="s">
        <v>57</v>
      </c>
      <c r="C292" s="18"/>
      <c r="D292" s="8" t="s">
        <v>56</v>
      </c>
      <c r="E292" s="15" t="s">
        <v>42</v>
      </c>
      <c r="F292" s="8"/>
      <c r="G292" s="37"/>
      <c r="H292" s="37" t="s">
        <v>405</v>
      </c>
      <c r="I292" s="37"/>
      <c r="J292" s="37" t="b">
        <v>1</v>
      </c>
      <c r="K292" s="38"/>
      <c r="L292" s="9"/>
    </row>
    <row r="293" spans="1:14" ht="19.5" thickTop="1">
      <c r="J293" s="43"/>
    </row>
    <row r="294" spans="1:14">
      <c r="B294" t="str">
        <f>HYPERLINK("#'テーブル設計'!B2","テーブル一覧")</f>
        <v>テーブル一覧</v>
      </c>
    </row>
    <row r="295" spans="1:14" ht="19.5" thickBot="1"/>
    <row r="296" spans="1:14" ht="19.5" thickTop="1">
      <c r="B296" s="19" t="s">
        <v>21</v>
      </c>
      <c r="C296" s="4"/>
      <c r="D296" s="5" t="s">
        <v>451</v>
      </c>
      <c r="E296" s="6"/>
      <c r="F296" s="24" t="s">
        <v>455</v>
      </c>
      <c r="M296" t="str">
        <f>+D296</f>
        <v>ifc_port_connections</v>
      </c>
      <c r="N296">
        <v>294</v>
      </c>
    </row>
    <row r="297" spans="1:14" ht="19.5" thickBot="1">
      <c r="B297" s="17" t="s">
        <v>22</v>
      </c>
      <c r="C297" s="15"/>
      <c r="D297" s="76" t="s">
        <v>489</v>
      </c>
      <c r="E297" s="20"/>
    </row>
    <row r="298" spans="1:14" ht="19.5" thickTop="1"/>
    <row r="299" spans="1:14">
      <c r="B299" s="1" t="s">
        <v>23</v>
      </c>
      <c r="C299" s="14"/>
    </row>
    <row r="300" spans="1:14">
      <c r="C300" t="s">
        <v>484</v>
      </c>
    </row>
    <row r="304" spans="1:14">
      <c r="B304" s="1" t="s">
        <v>24</v>
      </c>
      <c r="C304" s="14"/>
    </row>
    <row r="305" spans="2:3">
      <c r="C305" t="s">
        <v>25</v>
      </c>
    </row>
    <row r="307" spans="2:3">
      <c r="B307" s="1" t="s">
        <v>26</v>
      </c>
      <c r="C307" s="14"/>
    </row>
    <row r="308" spans="2:3">
      <c r="C308" s="10"/>
    </row>
    <row r="313" spans="2:3">
      <c r="B313" s="1" t="s">
        <v>49</v>
      </c>
      <c r="C313" s="14"/>
    </row>
    <row r="314" spans="2:3">
      <c r="C314" s="24" t="s">
        <v>493</v>
      </c>
    </row>
    <row r="322" spans="1:17" ht="19.5" thickBot="1"/>
    <row r="323" spans="1:17" ht="19.5" thickTop="1">
      <c r="B323" s="94" t="s">
        <v>2</v>
      </c>
      <c r="C323" s="95"/>
      <c r="D323" s="11" t="s">
        <v>3</v>
      </c>
      <c r="E323" s="13" t="s">
        <v>4</v>
      </c>
      <c r="F323" s="35" t="s">
        <v>5</v>
      </c>
      <c r="G323" s="35" t="s">
        <v>7</v>
      </c>
      <c r="H323" s="35" t="s">
        <v>27</v>
      </c>
      <c r="I323" s="35" t="s">
        <v>47</v>
      </c>
      <c r="J323" s="11" t="s">
        <v>14</v>
      </c>
      <c r="K323" s="11" t="s">
        <v>15</v>
      </c>
      <c r="L323" s="12" t="s">
        <v>17</v>
      </c>
      <c r="P323" s="29"/>
      <c r="Q323" s="28"/>
    </row>
    <row r="324" spans="1:17">
      <c r="A324">
        <v>1</v>
      </c>
      <c r="B324" s="16" t="s">
        <v>25</v>
      </c>
      <c r="C324" s="2"/>
      <c r="D324" s="3" t="s">
        <v>472</v>
      </c>
      <c r="E324" s="14" t="s">
        <v>29</v>
      </c>
      <c r="F324" s="3" t="s">
        <v>405</v>
      </c>
      <c r="G324" s="36"/>
      <c r="H324" s="36" t="s">
        <v>405</v>
      </c>
      <c r="I324" s="36"/>
      <c r="J324" s="36"/>
      <c r="K324" s="31"/>
      <c r="L324" s="7" t="s">
        <v>219</v>
      </c>
    </row>
    <row r="325" spans="1:17">
      <c r="A325">
        <v>2</v>
      </c>
      <c r="B325" s="16" t="s">
        <v>341</v>
      </c>
      <c r="C325" s="2"/>
      <c r="D325" s="3" t="s">
        <v>430</v>
      </c>
      <c r="E325" s="14" t="s">
        <v>29</v>
      </c>
      <c r="F325" s="3"/>
      <c r="G325" s="36" t="s">
        <v>405</v>
      </c>
      <c r="H325" s="36" t="s">
        <v>405</v>
      </c>
      <c r="I325" s="36"/>
      <c r="J325" s="36"/>
      <c r="K325" s="31" t="s">
        <v>431</v>
      </c>
      <c r="L325" s="7"/>
    </row>
    <row r="326" spans="1:17">
      <c r="A326">
        <v>3</v>
      </c>
      <c r="B326" s="16" t="s">
        <v>473</v>
      </c>
      <c r="C326" s="2"/>
      <c r="D326" s="3" t="s">
        <v>474</v>
      </c>
      <c r="E326" s="14" t="s">
        <v>31</v>
      </c>
      <c r="F326" s="3"/>
      <c r="G326" s="36"/>
      <c r="H326" s="36"/>
      <c r="I326" s="36"/>
      <c r="J326" s="36"/>
      <c r="K326" s="31"/>
      <c r="L326" s="7" t="s">
        <v>475</v>
      </c>
    </row>
    <row r="327" spans="1:17">
      <c r="A327">
        <v>4</v>
      </c>
      <c r="B327" s="16" t="s">
        <v>476</v>
      </c>
      <c r="C327" s="2"/>
      <c r="D327" s="3" t="s">
        <v>477</v>
      </c>
      <c r="E327" s="14" t="s">
        <v>29</v>
      </c>
      <c r="F327" s="3"/>
      <c r="G327" s="36" t="s">
        <v>405</v>
      </c>
      <c r="H327" s="36" t="s">
        <v>405</v>
      </c>
      <c r="I327" s="36"/>
      <c r="J327" s="36"/>
      <c r="K327" s="31" t="s">
        <v>478</v>
      </c>
      <c r="L327" s="7"/>
    </row>
    <row r="328" spans="1:17">
      <c r="A328">
        <v>5</v>
      </c>
      <c r="B328" s="16" t="s">
        <v>479</v>
      </c>
      <c r="C328" s="2"/>
      <c r="D328" s="3" t="s">
        <v>480</v>
      </c>
      <c r="E328" s="14" t="s">
        <v>29</v>
      </c>
      <c r="F328" s="3"/>
      <c r="G328" s="36" t="s">
        <v>405</v>
      </c>
      <c r="H328" s="36" t="s">
        <v>405</v>
      </c>
      <c r="I328" s="36"/>
      <c r="J328" s="36"/>
      <c r="K328" s="31" t="s">
        <v>478</v>
      </c>
      <c r="L328" s="7"/>
    </row>
    <row r="329" spans="1:17">
      <c r="A329">
        <v>6</v>
      </c>
      <c r="B329" s="16" t="s">
        <v>481</v>
      </c>
      <c r="C329" s="2"/>
      <c r="D329" s="3" t="s">
        <v>482</v>
      </c>
      <c r="E329" s="14" t="s">
        <v>31</v>
      </c>
      <c r="F329" s="3"/>
      <c r="G329" s="36"/>
      <c r="H329" s="36"/>
      <c r="I329" s="36"/>
      <c r="J329" s="36"/>
      <c r="K329" s="31"/>
      <c r="L329" s="7" t="s">
        <v>483</v>
      </c>
    </row>
    <row r="330" spans="1:17">
      <c r="A330">
        <v>7</v>
      </c>
      <c r="B330" s="16" t="s">
        <v>128</v>
      </c>
      <c r="C330" s="2"/>
      <c r="D330" s="3" t="s">
        <v>17</v>
      </c>
      <c r="E330" s="14" t="s">
        <v>31</v>
      </c>
      <c r="F330" s="3"/>
      <c r="G330" s="36"/>
      <c r="H330" s="36"/>
      <c r="I330" s="36"/>
      <c r="J330" s="36"/>
      <c r="K330" s="31"/>
      <c r="L330" s="7"/>
    </row>
    <row r="331" spans="1:17" ht="19.5" thickBot="1">
      <c r="A331">
        <v>8</v>
      </c>
      <c r="B331" s="17" t="s">
        <v>57</v>
      </c>
      <c r="C331" s="18"/>
      <c r="D331" s="8" t="s">
        <v>56</v>
      </c>
      <c r="E331" s="15" t="s">
        <v>42</v>
      </c>
      <c r="F331" s="8"/>
      <c r="G331" s="37"/>
      <c r="H331" s="37" t="s">
        <v>405</v>
      </c>
      <c r="I331" s="37"/>
      <c r="J331" s="37" t="b">
        <v>1</v>
      </c>
      <c r="K331" s="38"/>
      <c r="L331" s="9"/>
    </row>
    <row r="332" spans="1:17" ht="19.5" thickTop="1">
      <c r="J332" s="43"/>
    </row>
    <row r="333" spans="1:17">
      <c r="B333" t="str">
        <f>HYPERLINK("#'テーブル設計'!B2","テーブル一覧")</f>
        <v>テーブル一覧</v>
      </c>
    </row>
    <row r="334" spans="1:17" ht="19.5" thickBot="1"/>
    <row r="335" spans="1:17" ht="19.5" thickTop="1">
      <c r="B335" s="19" t="s">
        <v>21</v>
      </c>
      <c r="C335" s="4"/>
      <c r="D335" s="5" t="s">
        <v>68</v>
      </c>
      <c r="E335" s="6"/>
      <c r="F335" t="s">
        <v>512</v>
      </c>
      <c r="M335" t="str">
        <f t="shared" ref="M335" si="0">+D335</f>
        <v>standard_documents</v>
      </c>
      <c r="N335">
        <v>333</v>
      </c>
    </row>
    <row r="336" spans="1:17" ht="19.5" thickBot="1">
      <c r="B336" s="17" t="s">
        <v>22</v>
      </c>
      <c r="C336" s="15"/>
      <c r="D336" s="76" t="s">
        <v>406</v>
      </c>
      <c r="E336" s="20"/>
    </row>
    <row r="337" spans="2:3" ht="19.5" thickTop="1"/>
    <row r="338" spans="2:3">
      <c r="B338" s="1" t="s">
        <v>23</v>
      </c>
      <c r="C338" s="14"/>
    </row>
    <row r="339" spans="2:3">
      <c r="C339" s="24" t="s">
        <v>597</v>
      </c>
    </row>
    <row r="340" spans="2:3">
      <c r="C340" t="s">
        <v>598</v>
      </c>
    </row>
    <row r="343" spans="2:3">
      <c r="B343" s="1" t="s">
        <v>24</v>
      </c>
      <c r="C343" s="14"/>
    </row>
    <row r="344" spans="2:3">
      <c r="C344" t="s">
        <v>25</v>
      </c>
    </row>
    <row r="346" spans="2:3">
      <c r="B346" s="1" t="s">
        <v>26</v>
      </c>
      <c r="C346" s="14"/>
    </row>
    <row r="347" spans="2:3">
      <c r="C347" s="10" t="s">
        <v>595</v>
      </c>
    </row>
    <row r="348" spans="2:3">
      <c r="C348" t="s">
        <v>596</v>
      </c>
    </row>
    <row r="352" spans="2:3">
      <c r="B352" s="1" t="s">
        <v>49</v>
      </c>
      <c r="C352" s="14"/>
    </row>
    <row r="353" spans="1:17">
      <c r="C353" s="24" t="s">
        <v>99</v>
      </c>
    </row>
    <row r="354" spans="1:17">
      <c r="D354" t="s">
        <v>601</v>
      </c>
    </row>
    <row r="355" spans="1:17">
      <c r="C355" t="s">
        <v>599</v>
      </c>
    </row>
    <row r="356" spans="1:17">
      <c r="C356" t="s">
        <v>600</v>
      </c>
    </row>
    <row r="361" spans="1:17" ht="19.5" thickBot="1"/>
    <row r="362" spans="1:17" ht="19.5" thickTop="1">
      <c r="B362" s="94" t="s">
        <v>2</v>
      </c>
      <c r="C362" s="95"/>
      <c r="D362" s="11" t="s">
        <v>3</v>
      </c>
      <c r="E362" s="13" t="s">
        <v>4</v>
      </c>
      <c r="F362" s="35" t="s">
        <v>5</v>
      </c>
      <c r="G362" s="35" t="s">
        <v>7</v>
      </c>
      <c r="H362" s="35" t="s">
        <v>27</v>
      </c>
      <c r="I362" s="35" t="s">
        <v>47</v>
      </c>
      <c r="J362" s="11" t="s">
        <v>14</v>
      </c>
      <c r="K362" s="11" t="s">
        <v>15</v>
      </c>
      <c r="L362" s="12" t="s">
        <v>17</v>
      </c>
      <c r="P362" s="86"/>
      <c r="Q362" s="86"/>
    </row>
    <row r="363" spans="1:17">
      <c r="A363">
        <v>1</v>
      </c>
      <c r="B363" s="16" t="s">
        <v>25</v>
      </c>
      <c r="C363" s="2"/>
      <c r="D363" s="3" t="s">
        <v>102</v>
      </c>
      <c r="E363" s="14" t="s">
        <v>29</v>
      </c>
      <c r="F363" s="3" t="s">
        <v>405</v>
      </c>
      <c r="G363" s="36"/>
      <c r="H363" s="36" t="s">
        <v>405</v>
      </c>
      <c r="I363" s="36"/>
      <c r="J363" s="36"/>
      <c r="K363" s="31"/>
      <c r="L363" s="7" t="s">
        <v>219</v>
      </c>
      <c r="P363" s="88"/>
      <c r="Q363" s="88"/>
    </row>
    <row r="364" spans="1:17">
      <c r="A364">
        <v>2</v>
      </c>
      <c r="B364" s="16" t="s">
        <v>86</v>
      </c>
      <c r="C364" s="2"/>
      <c r="D364" s="3" t="s">
        <v>103</v>
      </c>
      <c r="E364" s="14" t="s">
        <v>31</v>
      </c>
      <c r="F364" s="3"/>
      <c r="G364" s="36"/>
      <c r="H364" s="36" t="s">
        <v>405</v>
      </c>
      <c r="I364" s="36"/>
      <c r="J364" s="36"/>
      <c r="K364" s="31"/>
      <c r="L364" s="7" t="s">
        <v>498</v>
      </c>
      <c r="P364" s="88"/>
      <c r="Q364" s="88"/>
    </row>
    <row r="365" spans="1:17">
      <c r="A365">
        <v>3</v>
      </c>
      <c r="B365" s="16" t="s">
        <v>46</v>
      </c>
      <c r="C365" s="2"/>
      <c r="D365" s="3" t="s">
        <v>104</v>
      </c>
      <c r="E365" s="14" t="s">
        <v>31</v>
      </c>
      <c r="F365" s="3"/>
      <c r="G365" s="36"/>
      <c r="H365" s="36" t="s">
        <v>405</v>
      </c>
      <c r="I365" s="36"/>
      <c r="J365" s="36"/>
      <c r="K365" s="31"/>
      <c r="L365" s="7" t="s">
        <v>499</v>
      </c>
      <c r="P365" s="88"/>
      <c r="Q365" s="88"/>
    </row>
    <row r="366" spans="1:17">
      <c r="A366">
        <v>4</v>
      </c>
      <c r="B366" s="16" t="s">
        <v>105</v>
      </c>
      <c r="C366" s="2"/>
      <c r="D366" s="3" t="s">
        <v>106</v>
      </c>
      <c r="E366" s="14" t="s">
        <v>31</v>
      </c>
      <c r="F366" s="3"/>
      <c r="G366" s="36"/>
      <c r="H366" s="36" t="s">
        <v>405</v>
      </c>
      <c r="I366" s="36"/>
      <c r="J366" s="36"/>
      <c r="K366" s="31"/>
      <c r="L366" s="7" t="s">
        <v>500</v>
      </c>
      <c r="P366" s="88"/>
      <c r="Q366" s="88"/>
    </row>
    <row r="367" spans="1:17">
      <c r="A367">
        <v>5</v>
      </c>
      <c r="B367" s="65" t="s">
        <v>511</v>
      </c>
      <c r="C367" s="2"/>
      <c r="D367" s="41" t="s">
        <v>510</v>
      </c>
      <c r="E367" s="14" t="s">
        <v>31</v>
      </c>
      <c r="F367" s="3"/>
      <c r="G367" s="36"/>
      <c r="H367" s="36" t="s">
        <v>405</v>
      </c>
      <c r="I367" s="36"/>
      <c r="J367" s="36"/>
      <c r="K367" s="31"/>
      <c r="L367" s="7"/>
      <c r="P367" s="88"/>
      <c r="Q367" s="88"/>
    </row>
    <row r="368" spans="1:17">
      <c r="A368">
        <v>6</v>
      </c>
      <c r="B368" s="16" t="s">
        <v>107</v>
      </c>
      <c r="C368" s="2"/>
      <c r="D368" s="3" t="s">
        <v>594</v>
      </c>
      <c r="E368" s="14" t="s">
        <v>31</v>
      </c>
      <c r="F368" s="3"/>
      <c r="G368" s="36"/>
      <c r="H368" s="36"/>
      <c r="I368" s="36"/>
      <c r="J368" s="36"/>
      <c r="K368" s="31"/>
      <c r="L368" s="7" t="s">
        <v>501</v>
      </c>
      <c r="P368" s="88"/>
      <c r="Q368" s="88"/>
    </row>
    <row r="369" spans="1:17">
      <c r="A369">
        <v>7</v>
      </c>
      <c r="B369" s="16" t="s">
        <v>496</v>
      </c>
      <c r="C369" s="2"/>
      <c r="D369" s="41" t="s">
        <v>497</v>
      </c>
      <c r="E369" s="14" t="s">
        <v>31</v>
      </c>
      <c r="F369" s="3"/>
      <c r="G369" s="36"/>
      <c r="H369" s="36"/>
      <c r="I369" s="36"/>
      <c r="J369" s="36"/>
      <c r="K369" s="31"/>
      <c r="L369" s="7" t="s">
        <v>502</v>
      </c>
      <c r="P369" s="89"/>
      <c r="Q369" s="87"/>
    </row>
    <row r="370" spans="1:17">
      <c r="A370">
        <v>8</v>
      </c>
      <c r="B370" s="16" t="s">
        <v>108</v>
      </c>
      <c r="C370" s="2"/>
      <c r="D370" s="3" t="s">
        <v>109</v>
      </c>
      <c r="E370" s="14" t="s">
        <v>29</v>
      </c>
      <c r="F370" s="3"/>
      <c r="G370" s="36"/>
      <c r="H370" s="36"/>
      <c r="I370" s="36"/>
      <c r="J370" s="36"/>
      <c r="K370" s="31"/>
      <c r="L370" s="7" t="s">
        <v>503</v>
      </c>
      <c r="P370" s="88"/>
      <c r="Q370" s="87"/>
    </row>
    <row r="371" spans="1:17">
      <c r="A371">
        <v>9</v>
      </c>
      <c r="B371" s="16" t="s">
        <v>110</v>
      </c>
      <c r="C371" s="2"/>
      <c r="D371" s="3" t="s">
        <v>111</v>
      </c>
      <c r="E371" s="14" t="s">
        <v>31</v>
      </c>
      <c r="F371" s="3"/>
      <c r="G371" s="36"/>
      <c r="H371" s="36"/>
      <c r="I371" s="36"/>
      <c r="J371" s="36"/>
      <c r="K371" s="31"/>
      <c r="L371" s="7" t="s">
        <v>504</v>
      </c>
      <c r="P371" s="88"/>
      <c r="Q371" s="87"/>
    </row>
    <row r="372" spans="1:17">
      <c r="A372">
        <v>10</v>
      </c>
      <c r="B372" s="16" t="s">
        <v>112</v>
      </c>
      <c r="C372" s="2"/>
      <c r="D372" s="3" t="s">
        <v>113</v>
      </c>
      <c r="E372" s="14" t="s">
        <v>31</v>
      </c>
      <c r="F372" s="3"/>
      <c r="G372" s="36"/>
      <c r="H372" s="36"/>
      <c r="I372" s="36"/>
      <c r="J372" s="36"/>
      <c r="K372" s="31"/>
      <c r="L372" s="7" t="s">
        <v>506</v>
      </c>
      <c r="P372" s="88"/>
      <c r="Q372" s="87"/>
    </row>
    <row r="373" spans="1:17">
      <c r="A373">
        <v>11</v>
      </c>
      <c r="B373" s="16" t="s">
        <v>60</v>
      </c>
      <c r="C373" s="2"/>
      <c r="D373" s="3" t="s">
        <v>114</v>
      </c>
      <c r="E373" s="14" t="s">
        <v>33</v>
      </c>
      <c r="F373" s="3"/>
      <c r="G373" s="36"/>
      <c r="H373" s="36"/>
      <c r="I373" s="36"/>
      <c r="J373" s="36"/>
      <c r="K373" s="31"/>
      <c r="L373" s="7" t="s">
        <v>505</v>
      </c>
      <c r="P373" s="88"/>
      <c r="Q373" s="87"/>
    </row>
    <row r="374" spans="1:17">
      <c r="A374">
        <v>12</v>
      </c>
      <c r="B374" s="16" t="s">
        <v>43</v>
      </c>
      <c r="C374" s="2"/>
      <c r="D374" s="3" t="s">
        <v>61</v>
      </c>
      <c r="E374" s="14" t="s">
        <v>33</v>
      </c>
      <c r="F374" s="3"/>
      <c r="G374" s="36"/>
      <c r="H374" s="36"/>
      <c r="I374" s="36"/>
      <c r="J374" s="36"/>
      <c r="K374" s="31"/>
      <c r="L374" s="7"/>
      <c r="P374" s="88"/>
      <c r="Q374" s="87"/>
    </row>
    <row r="375" spans="1:17">
      <c r="A375">
        <v>13</v>
      </c>
      <c r="B375" s="16" t="s">
        <v>44</v>
      </c>
      <c r="C375" s="2"/>
      <c r="D375" s="3" t="s">
        <v>62</v>
      </c>
      <c r="E375" s="14" t="s">
        <v>33</v>
      </c>
      <c r="F375" s="3"/>
      <c r="G375" s="36"/>
      <c r="H375" s="36"/>
      <c r="I375" s="36"/>
      <c r="J375" s="36"/>
      <c r="K375" s="31"/>
      <c r="L375" s="7"/>
      <c r="P375" s="88"/>
      <c r="Q375" s="87"/>
    </row>
    <row r="376" spans="1:17">
      <c r="A376">
        <v>14</v>
      </c>
      <c r="B376" s="16" t="s">
        <v>58</v>
      </c>
      <c r="C376" s="2"/>
      <c r="D376" s="3" t="s">
        <v>59</v>
      </c>
      <c r="E376" s="14" t="s">
        <v>31</v>
      </c>
      <c r="F376" s="3"/>
      <c r="G376" s="36"/>
      <c r="H376" s="36"/>
      <c r="I376" s="36"/>
      <c r="J376" s="36"/>
      <c r="K376" s="31"/>
      <c r="L376" s="7" t="s">
        <v>507</v>
      </c>
      <c r="P376" s="88"/>
      <c r="Q376" s="87"/>
    </row>
    <row r="377" spans="1:17">
      <c r="A377">
        <v>15</v>
      </c>
      <c r="B377" s="16" t="s">
        <v>115</v>
      </c>
      <c r="C377" s="2"/>
      <c r="D377" s="3" t="s">
        <v>116</v>
      </c>
      <c r="E377" s="14" t="s">
        <v>31</v>
      </c>
      <c r="F377" s="3"/>
      <c r="G377" s="36"/>
      <c r="H377" s="36"/>
      <c r="I377" s="36"/>
      <c r="J377" s="36"/>
      <c r="K377" s="31"/>
      <c r="L377" s="7" t="s">
        <v>509</v>
      </c>
      <c r="P377" s="88"/>
      <c r="Q377" s="87"/>
    </row>
    <row r="378" spans="1:17">
      <c r="A378">
        <v>16</v>
      </c>
      <c r="B378" s="16" t="s">
        <v>117</v>
      </c>
      <c r="C378" s="2"/>
      <c r="D378" s="3" t="s">
        <v>118</v>
      </c>
      <c r="E378" s="14" t="s">
        <v>31</v>
      </c>
      <c r="F378" s="3"/>
      <c r="G378" s="36"/>
      <c r="H378" s="36"/>
      <c r="I378" s="36"/>
      <c r="J378" s="36"/>
      <c r="K378" s="31"/>
      <c r="L378" s="7" t="s">
        <v>508</v>
      </c>
      <c r="P378" s="88"/>
      <c r="Q378" s="87"/>
    </row>
    <row r="379" spans="1:17">
      <c r="A379">
        <v>17</v>
      </c>
      <c r="B379" s="16" t="s">
        <v>45</v>
      </c>
      <c r="C379" s="2"/>
      <c r="D379" s="3" t="s">
        <v>17</v>
      </c>
      <c r="E379" s="14" t="s">
        <v>31</v>
      </c>
      <c r="F379" s="36"/>
      <c r="G379" s="36"/>
      <c r="H379" s="36"/>
      <c r="I379" s="36"/>
      <c r="J379" s="30"/>
      <c r="K379" s="3"/>
      <c r="L379" s="7"/>
      <c r="P379" s="88"/>
      <c r="Q379" s="87"/>
    </row>
    <row r="380" spans="1:17" ht="19.5" thickBot="1">
      <c r="A380">
        <v>18</v>
      </c>
      <c r="B380" s="17" t="s">
        <v>57</v>
      </c>
      <c r="C380" s="18"/>
      <c r="D380" s="8" t="s">
        <v>56</v>
      </c>
      <c r="E380" s="15" t="s">
        <v>42</v>
      </c>
      <c r="F380" s="37"/>
      <c r="G380" s="37"/>
      <c r="H380" s="37" t="s">
        <v>405</v>
      </c>
      <c r="I380" s="37"/>
      <c r="J380" s="38" t="b">
        <v>1</v>
      </c>
      <c r="K380" s="8"/>
      <c r="L380" s="9"/>
      <c r="P380" s="88"/>
      <c r="Q380" s="88"/>
    </row>
    <row r="381" spans="1:17" ht="19.5" thickTop="1">
      <c r="J381" s="43"/>
      <c r="P381" s="88"/>
      <c r="Q381" s="88"/>
    </row>
    <row r="382" spans="1:17">
      <c r="B382" t="str">
        <f>HYPERLINK("#'テーブル設計'!B2","テーブル一覧")</f>
        <v>テーブル一覧</v>
      </c>
      <c r="P382" s="88"/>
      <c r="Q382" s="88"/>
    </row>
    <row r="383" spans="1:17" ht="19.5" thickBot="1"/>
    <row r="384" spans="1:17" ht="19.5" thickTop="1">
      <c r="B384" s="19" t="s">
        <v>21</v>
      </c>
      <c r="C384" s="4"/>
      <c r="D384" s="5" t="s">
        <v>513</v>
      </c>
      <c r="E384" s="6"/>
      <c r="F384" t="s">
        <v>512</v>
      </c>
      <c r="M384" t="str">
        <f>+D384</f>
        <v>standard_provisions</v>
      </c>
      <c r="N384">
        <v>382</v>
      </c>
    </row>
    <row r="385" spans="2:5" ht="19.5" thickBot="1">
      <c r="B385" s="17" t="s">
        <v>22</v>
      </c>
      <c r="C385" s="15"/>
      <c r="D385" s="21" t="s">
        <v>514</v>
      </c>
      <c r="E385" s="20"/>
    </row>
    <row r="386" spans="2:5" ht="19.5" thickTop="1"/>
    <row r="387" spans="2:5">
      <c r="B387" s="1" t="s">
        <v>23</v>
      </c>
      <c r="C387" s="14"/>
    </row>
    <row r="388" spans="2:5">
      <c r="C388" t="s">
        <v>578</v>
      </c>
    </row>
    <row r="389" spans="2:5">
      <c r="C389" t="s">
        <v>579</v>
      </c>
    </row>
    <row r="392" spans="2:5">
      <c r="B392" s="1" t="s">
        <v>24</v>
      </c>
      <c r="C392" s="14"/>
    </row>
    <row r="393" spans="2:5">
      <c r="C393" t="s">
        <v>25</v>
      </c>
    </row>
    <row r="395" spans="2:5">
      <c r="B395" s="1" t="s">
        <v>26</v>
      </c>
      <c r="C395" s="14"/>
    </row>
    <row r="396" spans="2:5">
      <c r="C396" s="10" t="s">
        <v>577</v>
      </c>
    </row>
    <row r="401" spans="1:17">
      <c r="B401" s="1" t="s">
        <v>49</v>
      </c>
      <c r="C401" s="14"/>
    </row>
    <row r="402" spans="1:17">
      <c r="C402" s="24" t="s">
        <v>580</v>
      </c>
    </row>
    <row r="403" spans="1:17">
      <c r="C403" t="s">
        <v>581</v>
      </c>
    </row>
    <row r="404" spans="1:17">
      <c r="C404" t="s">
        <v>582</v>
      </c>
    </row>
    <row r="405" spans="1:17">
      <c r="C405" t="s">
        <v>583</v>
      </c>
    </row>
    <row r="410" spans="1:17" ht="19.5" thickBot="1"/>
    <row r="411" spans="1:17" ht="19.5" thickTop="1">
      <c r="B411" s="94" t="s">
        <v>2</v>
      </c>
      <c r="C411" s="95"/>
      <c r="D411" s="11" t="s">
        <v>3</v>
      </c>
      <c r="E411" s="13" t="s">
        <v>4</v>
      </c>
      <c r="F411" s="35" t="s">
        <v>5</v>
      </c>
      <c r="G411" s="35" t="s">
        <v>7</v>
      </c>
      <c r="H411" s="35" t="s">
        <v>27</v>
      </c>
      <c r="I411" s="35" t="s">
        <v>47</v>
      </c>
      <c r="J411" s="11" t="s">
        <v>14</v>
      </c>
      <c r="K411" s="11" t="s">
        <v>15</v>
      </c>
      <c r="L411" s="12" t="s">
        <v>17</v>
      </c>
      <c r="P411" s="29"/>
      <c r="Q411" s="28"/>
    </row>
    <row r="412" spans="1:17">
      <c r="A412">
        <v>1</v>
      </c>
      <c r="B412" s="16" t="s">
        <v>25</v>
      </c>
      <c r="C412" s="2"/>
      <c r="D412" s="3" t="s">
        <v>515</v>
      </c>
      <c r="E412" s="14" t="s">
        <v>29</v>
      </c>
      <c r="F412" s="3" t="s">
        <v>405</v>
      </c>
      <c r="G412" s="36"/>
      <c r="H412" s="36" t="s">
        <v>405</v>
      </c>
      <c r="I412" s="36"/>
      <c r="J412" s="36"/>
      <c r="K412" s="31"/>
      <c r="L412" s="7" t="s">
        <v>219</v>
      </c>
    </row>
    <row r="413" spans="1:17">
      <c r="A413">
        <v>2</v>
      </c>
      <c r="B413" s="16" t="s">
        <v>120</v>
      </c>
      <c r="C413" s="2"/>
      <c r="D413" s="3" t="s">
        <v>102</v>
      </c>
      <c r="E413" s="14" t="s">
        <v>29</v>
      </c>
      <c r="F413" s="3"/>
      <c r="G413" s="36" t="s">
        <v>405</v>
      </c>
      <c r="H413" s="36" t="s">
        <v>405</v>
      </c>
      <c r="I413" s="36"/>
      <c r="J413" s="36"/>
      <c r="K413" s="31" t="s">
        <v>385</v>
      </c>
      <c r="L413" s="7" t="s">
        <v>516</v>
      </c>
    </row>
    <row r="414" spans="1:17">
      <c r="A414">
        <v>3</v>
      </c>
      <c r="B414" s="16" t="s">
        <v>517</v>
      </c>
      <c r="C414" s="2"/>
      <c r="D414" s="3" t="s">
        <v>518</v>
      </c>
      <c r="E414" s="14" t="s">
        <v>31</v>
      </c>
      <c r="F414" s="3"/>
      <c r="G414" s="36"/>
      <c r="H414" s="36" t="s">
        <v>405</v>
      </c>
      <c r="I414" s="36"/>
      <c r="J414" s="36"/>
      <c r="K414" s="31"/>
      <c r="L414" s="7" t="s">
        <v>519</v>
      </c>
    </row>
    <row r="415" spans="1:17">
      <c r="A415">
        <v>4</v>
      </c>
      <c r="B415" s="16" t="s">
        <v>520</v>
      </c>
      <c r="C415" s="2"/>
      <c r="D415" s="3" t="s">
        <v>521</v>
      </c>
      <c r="E415" s="14" t="s">
        <v>31</v>
      </c>
      <c r="F415" s="3"/>
      <c r="G415" s="36"/>
      <c r="H415" s="36" t="s">
        <v>405</v>
      </c>
      <c r="I415" s="36"/>
      <c r="J415" s="36"/>
      <c r="K415" s="31"/>
      <c r="L415" s="7" t="s">
        <v>522</v>
      </c>
    </row>
    <row r="416" spans="1:17">
      <c r="A416">
        <v>5</v>
      </c>
      <c r="B416" s="16" t="s">
        <v>523</v>
      </c>
      <c r="C416" s="2"/>
      <c r="D416" s="3" t="s">
        <v>524</v>
      </c>
      <c r="E416" s="14" t="s">
        <v>31</v>
      </c>
      <c r="F416" s="3"/>
      <c r="G416" s="36"/>
      <c r="H416" s="36"/>
      <c r="I416" s="36"/>
      <c r="J416" s="36"/>
      <c r="K416" s="31"/>
      <c r="L416" s="7" t="s">
        <v>525</v>
      </c>
    </row>
    <row r="417" spans="1:14">
      <c r="A417">
        <v>6</v>
      </c>
      <c r="B417" s="16" t="s">
        <v>526</v>
      </c>
      <c r="C417" s="2"/>
      <c r="D417" s="3" t="s">
        <v>527</v>
      </c>
      <c r="E417" s="14" t="s">
        <v>31</v>
      </c>
      <c r="F417" s="3"/>
      <c r="G417" s="36"/>
      <c r="H417" s="36"/>
      <c r="I417" s="36"/>
      <c r="J417" s="36"/>
      <c r="K417" s="31"/>
      <c r="L417" s="7" t="s">
        <v>528</v>
      </c>
    </row>
    <row r="418" spans="1:14">
      <c r="A418">
        <v>7</v>
      </c>
      <c r="B418" s="16" t="s">
        <v>105</v>
      </c>
      <c r="C418" s="2"/>
      <c r="D418" s="3" t="s">
        <v>529</v>
      </c>
      <c r="E418" s="14" t="s">
        <v>31</v>
      </c>
      <c r="F418" s="3"/>
      <c r="G418" s="36"/>
      <c r="H418" s="36" t="s">
        <v>405</v>
      </c>
      <c r="I418" s="36"/>
      <c r="J418" s="36"/>
      <c r="K418" s="31"/>
      <c r="L418" s="7" t="s">
        <v>530</v>
      </c>
    </row>
    <row r="419" spans="1:14">
      <c r="A419">
        <v>8</v>
      </c>
      <c r="B419" s="16" t="s">
        <v>240</v>
      </c>
      <c r="C419" s="2"/>
      <c r="D419" s="3" t="s">
        <v>241</v>
      </c>
      <c r="E419" s="14" t="s">
        <v>29</v>
      </c>
      <c r="F419" s="3"/>
      <c r="G419" s="36"/>
      <c r="H419" s="36"/>
      <c r="I419" s="36"/>
      <c r="J419" s="36"/>
      <c r="K419" s="31"/>
      <c r="L419" s="7" t="s">
        <v>531</v>
      </c>
    </row>
    <row r="420" spans="1:14">
      <c r="A420">
        <v>9</v>
      </c>
      <c r="B420" s="16" t="s">
        <v>532</v>
      </c>
      <c r="C420" s="2"/>
      <c r="D420" s="3" t="s">
        <v>533</v>
      </c>
      <c r="E420" s="14" t="s">
        <v>31</v>
      </c>
      <c r="F420" s="3"/>
      <c r="G420" s="36"/>
      <c r="H420" s="36"/>
      <c r="I420" s="36"/>
      <c r="J420" s="36"/>
      <c r="K420" s="31"/>
      <c r="L420" s="7" t="s">
        <v>534</v>
      </c>
    </row>
    <row r="421" spans="1:14">
      <c r="A421">
        <v>10</v>
      </c>
      <c r="B421" s="16" t="s">
        <v>535</v>
      </c>
      <c r="C421" s="2"/>
      <c r="D421" s="3" t="s">
        <v>536</v>
      </c>
      <c r="E421" s="14" t="s">
        <v>31</v>
      </c>
      <c r="F421" s="3"/>
      <c r="G421" s="36"/>
      <c r="H421" s="36"/>
      <c r="I421" s="36"/>
      <c r="J421" s="36"/>
      <c r="K421" s="31"/>
      <c r="L421" s="7" t="s">
        <v>537</v>
      </c>
    </row>
    <row r="422" spans="1:14">
      <c r="A422">
        <v>11</v>
      </c>
      <c r="B422" s="16" t="s">
        <v>45</v>
      </c>
      <c r="C422" s="2"/>
      <c r="D422" s="3" t="s">
        <v>17</v>
      </c>
      <c r="E422" s="14" t="s">
        <v>31</v>
      </c>
      <c r="F422" s="3"/>
      <c r="G422" s="36"/>
      <c r="H422" s="36"/>
      <c r="I422" s="36"/>
      <c r="J422" s="36"/>
      <c r="K422" s="31"/>
      <c r="L422" s="7"/>
    </row>
    <row r="423" spans="1:14" ht="19.5" thickBot="1">
      <c r="A423">
        <v>12</v>
      </c>
      <c r="B423" s="17" t="s">
        <v>57</v>
      </c>
      <c r="C423" s="18"/>
      <c r="D423" s="8" t="s">
        <v>56</v>
      </c>
      <c r="E423" s="15" t="s">
        <v>42</v>
      </c>
      <c r="F423" s="8"/>
      <c r="G423" s="37"/>
      <c r="H423" s="37" t="s">
        <v>405</v>
      </c>
      <c r="I423" s="37"/>
      <c r="J423" s="37" t="b">
        <v>1</v>
      </c>
      <c r="K423" s="38"/>
      <c r="L423" s="9"/>
    </row>
    <row r="424" spans="1:14" ht="19.5" thickTop="1">
      <c r="J424" s="43"/>
    </row>
    <row r="425" spans="1:14">
      <c r="B425" t="str">
        <f>HYPERLINK("#'テーブル設計'!B2","テーブル一覧")</f>
        <v>テーブル一覧</v>
      </c>
    </row>
    <row r="426" spans="1:14" ht="19.5" thickBot="1"/>
    <row r="427" spans="1:14" ht="19.5" thickTop="1">
      <c r="B427" s="19" t="s">
        <v>21</v>
      </c>
      <c r="C427" s="4"/>
      <c r="D427" s="5" t="s">
        <v>539</v>
      </c>
      <c r="E427" s="6"/>
      <c r="F427" t="s">
        <v>538</v>
      </c>
      <c r="M427" t="str">
        <f>+D427</f>
        <v>structured_specification_rules</v>
      </c>
      <c r="N427">
        <v>425</v>
      </c>
    </row>
    <row r="428" spans="1:14" ht="19.5" thickBot="1">
      <c r="B428" s="17" t="s">
        <v>22</v>
      </c>
      <c r="C428" s="15"/>
      <c r="D428" s="21" t="s">
        <v>540</v>
      </c>
      <c r="E428" s="20"/>
    </row>
    <row r="429" spans="1:14" ht="19.5" thickTop="1"/>
    <row r="430" spans="1:14">
      <c r="B430" s="1" t="s">
        <v>23</v>
      </c>
      <c r="C430" s="14"/>
    </row>
    <row r="431" spans="1:14">
      <c r="C431" t="s">
        <v>584</v>
      </c>
    </row>
    <row r="432" spans="1:14">
      <c r="C432" t="s">
        <v>585</v>
      </c>
    </row>
    <row r="435" spans="2:3">
      <c r="B435" s="1" t="s">
        <v>24</v>
      </c>
      <c r="C435" s="14"/>
    </row>
    <row r="436" spans="2:3">
      <c r="C436" t="s">
        <v>25</v>
      </c>
    </row>
    <row r="438" spans="2:3">
      <c r="B438" s="1" t="s">
        <v>26</v>
      </c>
      <c r="C438" s="14"/>
    </row>
    <row r="439" spans="2:3">
      <c r="C439" s="10"/>
    </row>
    <row r="444" spans="2:3">
      <c r="B444" s="1" t="s">
        <v>49</v>
      </c>
      <c r="C444" s="14"/>
    </row>
    <row r="445" spans="2:3">
      <c r="C445" s="24" t="s">
        <v>586</v>
      </c>
    </row>
    <row r="446" spans="2:3">
      <c r="C446" t="s">
        <v>587</v>
      </c>
    </row>
    <row r="447" spans="2:3">
      <c r="C447" t="s">
        <v>588</v>
      </c>
    </row>
    <row r="448" spans="2:3">
      <c r="C448" t="s">
        <v>589</v>
      </c>
    </row>
    <row r="449" spans="1:17">
      <c r="C449" t="s">
        <v>590</v>
      </c>
    </row>
    <row r="450" spans="1:17">
      <c r="C450" t="s">
        <v>591</v>
      </c>
    </row>
    <row r="451" spans="1:17">
      <c r="C451" s="24" t="s">
        <v>602</v>
      </c>
    </row>
    <row r="453" spans="1:17" ht="19.5" thickBot="1"/>
    <row r="454" spans="1:17" ht="19.5" thickTop="1">
      <c r="B454" s="94" t="s">
        <v>2</v>
      </c>
      <c r="C454" s="95"/>
      <c r="D454" s="11" t="s">
        <v>3</v>
      </c>
      <c r="E454" s="13" t="s">
        <v>4</v>
      </c>
      <c r="F454" s="35" t="s">
        <v>5</v>
      </c>
      <c r="G454" s="35" t="s">
        <v>7</v>
      </c>
      <c r="H454" s="35" t="s">
        <v>27</v>
      </c>
      <c r="I454" s="35" t="s">
        <v>47</v>
      </c>
      <c r="J454" s="11" t="s">
        <v>14</v>
      </c>
      <c r="K454" s="11" t="s">
        <v>15</v>
      </c>
      <c r="L454" s="12" t="s">
        <v>17</v>
      </c>
      <c r="P454" s="29"/>
      <c r="Q454" s="28"/>
    </row>
    <row r="455" spans="1:17">
      <c r="A455">
        <v>1</v>
      </c>
      <c r="B455" s="16" t="s">
        <v>25</v>
      </c>
      <c r="C455" s="2"/>
      <c r="D455" s="3" t="s">
        <v>541</v>
      </c>
      <c r="E455" s="14" t="s">
        <v>29</v>
      </c>
      <c r="F455" s="3" t="s">
        <v>405</v>
      </c>
      <c r="G455" s="36"/>
      <c r="H455" s="36" t="s">
        <v>405</v>
      </c>
      <c r="I455" s="36"/>
      <c r="J455" s="36"/>
      <c r="K455" s="31"/>
      <c r="L455" s="7" t="s">
        <v>219</v>
      </c>
    </row>
    <row r="456" spans="1:17">
      <c r="A456">
        <v>2</v>
      </c>
      <c r="B456" s="16" t="s">
        <v>542</v>
      </c>
      <c r="C456" s="2"/>
      <c r="D456" s="3" t="s">
        <v>515</v>
      </c>
      <c r="E456" s="14" t="s">
        <v>29</v>
      </c>
      <c r="F456" s="3"/>
      <c r="G456" s="36" t="s">
        <v>405</v>
      </c>
      <c r="H456" s="36" t="s">
        <v>405</v>
      </c>
      <c r="I456" s="36"/>
      <c r="J456" s="36"/>
      <c r="K456" s="31" t="s">
        <v>543</v>
      </c>
      <c r="L456" s="7" t="s">
        <v>528</v>
      </c>
    </row>
    <row r="457" spans="1:17">
      <c r="A457">
        <v>3</v>
      </c>
      <c r="B457" s="16" t="s">
        <v>544</v>
      </c>
      <c r="C457" s="2"/>
      <c r="D457" s="3" t="s">
        <v>545</v>
      </c>
      <c r="E457" s="14" t="s">
        <v>29</v>
      </c>
      <c r="F457" s="3"/>
      <c r="G457" s="36"/>
      <c r="H457" s="36" t="s">
        <v>405</v>
      </c>
      <c r="I457" s="36"/>
      <c r="J457" s="36"/>
      <c r="K457" s="31"/>
      <c r="L457" s="7" t="s">
        <v>546</v>
      </c>
    </row>
    <row r="458" spans="1:17">
      <c r="A458">
        <v>4</v>
      </c>
      <c r="B458" s="16" t="s">
        <v>547</v>
      </c>
      <c r="C458" s="2"/>
      <c r="D458" s="3" t="s">
        <v>548</v>
      </c>
      <c r="E458" s="14" t="s">
        <v>31</v>
      </c>
      <c r="F458" s="3"/>
      <c r="G458" s="36"/>
      <c r="H458" s="36" t="s">
        <v>405</v>
      </c>
      <c r="I458" s="36"/>
      <c r="J458" s="36"/>
      <c r="K458" s="31"/>
      <c r="L458" s="7" t="s">
        <v>549</v>
      </c>
    </row>
    <row r="459" spans="1:17">
      <c r="A459">
        <v>5</v>
      </c>
      <c r="B459" s="16" t="s">
        <v>194</v>
      </c>
      <c r="C459" s="2"/>
      <c r="D459" s="3" t="s">
        <v>550</v>
      </c>
      <c r="E459" s="14" t="s">
        <v>31</v>
      </c>
      <c r="F459" s="3"/>
      <c r="G459" s="36"/>
      <c r="H459" s="36" t="s">
        <v>405</v>
      </c>
      <c r="I459" s="36"/>
      <c r="J459" s="36"/>
      <c r="K459" s="31"/>
      <c r="L459" s="7" t="s">
        <v>551</v>
      </c>
    </row>
    <row r="460" spans="1:17">
      <c r="A460">
        <v>6</v>
      </c>
      <c r="B460" s="16" t="s">
        <v>552</v>
      </c>
      <c r="C460" s="2"/>
      <c r="D460" s="3" t="s">
        <v>553</v>
      </c>
      <c r="E460" s="14" t="s">
        <v>31</v>
      </c>
      <c r="F460" s="3"/>
      <c r="G460" s="36"/>
      <c r="H460" s="36"/>
      <c r="I460" s="36"/>
      <c r="J460" s="36"/>
      <c r="K460" s="31"/>
      <c r="L460" s="7" t="s">
        <v>554</v>
      </c>
    </row>
    <row r="461" spans="1:17">
      <c r="A461">
        <v>7</v>
      </c>
      <c r="B461" s="16" t="s">
        <v>555</v>
      </c>
      <c r="C461" s="2"/>
      <c r="D461" s="3" t="s">
        <v>556</v>
      </c>
      <c r="E461" s="14" t="s">
        <v>31</v>
      </c>
      <c r="F461" s="3"/>
      <c r="G461" s="36"/>
      <c r="H461" s="36"/>
      <c r="I461" s="36"/>
      <c r="J461" s="36"/>
      <c r="K461" s="31"/>
      <c r="L461" s="7" t="s">
        <v>557</v>
      </c>
    </row>
    <row r="462" spans="1:17">
      <c r="A462">
        <v>8</v>
      </c>
      <c r="B462" s="16" t="s">
        <v>558</v>
      </c>
      <c r="C462" s="2"/>
      <c r="D462" s="3" t="s">
        <v>559</v>
      </c>
      <c r="E462" s="14" t="s">
        <v>31</v>
      </c>
      <c r="F462" s="3"/>
      <c r="G462" s="36"/>
      <c r="H462" s="36"/>
      <c r="I462" s="36"/>
      <c r="J462" s="36"/>
      <c r="K462" s="31"/>
      <c r="L462" s="7" t="s">
        <v>560</v>
      </c>
    </row>
    <row r="463" spans="1:17">
      <c r="A463">
        <v>9</v>
      </c>
      <c r="B463" s="16" t="s">
        <v>561</v>
      </c>
      <c r="C463" s="2"/>
      <c r="D463" s="3" t="s">
        <v>562</v>
      </c>
      <c r="E463" s="14" t="s">
        <v>31</v>
      </c>
      <c r="F463" s="3"/>
      <c r="G463" s="36"/>
      <c r="H463" s="36"/>
      <c r="I463" s="36"/>
      <c r="J463" s="36"/>
      <c r="K463" s="31"/>
      <c r="L463" s="7" t="s">
        <v>563</v>
      </c>
    </row>
    <row r="464" spans="1:17">
      <c r="A464">
        <v>10</v>
      </c>
      <c r="B464" s="16" t="s">
        <v>564</v>
      </c>
      <c r="C464" s="2"/>
      <c r="D464" s="3" t="s">
        <v>565</v>
      </c>
      <c r="E464" s="14" t="s">
        <v>31</v>
      </c>
      <c r="F464" s="3"/>
      <c r="G464" s="36"/>
      <c r="H464" s="36"/>
      <c r="I464" s="36"/>
      <c r="J464" s="36"/>
      <c r="K464" s="31"/>
      <c r="L464" s="7" t="s">
        <v>566</v>
      </c>
    </row>
    <row r="465" spans="1:14">
      <c r="A465">
        <v>11</v>
      </c>
      <c r="B465" s="16" t="s">
        <v>567</v>
      </c>
      <c r="C465" s="2"/>
      <c r="D465" s="3" t="s">
        <v>568</v>
      </c>
      <c r="E465" s="14" t="s">
        <v>31</v>
      </c>
      <c r="F465" s="3"/>
      <c r="G465" s="36"/>
      <c r="H465" s="36"/>
      <c r="I465" s="36"/>
      <c r="J465" s="36"/>
      <c r="K465" s="31"/>
      <c r="L465" s="7" t="s">
        <v>569</v>
      </c>
    </row>
    <row r="466" spans="1:14">
      <c r="A466">
        <v>12</v>
      </c>
      <c r="B466" s="16" t="s">
        <v>570</v>
      </c>
      <c r="C466" s="2"/>
      <c r="D466" s="3" t="s">
        <v>571</v>
      </c>
      <c r="E466" s="14" t="s">
        <v>31</v>
      </c>
      <c r="F466" s="3"/>
      <c r="G466" s="36"/>
      <c r="H466" s="36" t="s">
        <v>405</v>
      </c>
      <c r="I466" s="36"/>
      <c r="J466" s="36"/>
      <c r="K466" s="31"/>
      <c r="L466" s="7" t="s">
        <v>572</v>
      </c>
    </row>
    <row r="467" spans="1:14">
      <c r="A467">
        <v>13</v>
      </c>
      <c r="B467" s="16" t="s">
        <v>334</v>
      </c>
      <c r="C467" s="2"/>
      <c r="D467" s="3" t="s">
        <v>335</v>
      </c>
      <c r="E467" s="14" t="s">
        <v>31</v>
      </c>
      <c r="F467" s="3"/>
      <c r="G467" s="36"/>
      <c r="H467" s="36" t="s">
        <v>405</v>
      </c>
      <c r="I467" s="36"/>
      <c r="J467" s="36"/>
      <c r="K467" s="31"/>
      <c r="L467" s="7" t="s">
        <v>573</v>
      </c>
    </row>
    <row r="468" spans="1:14">
      <c r="A468">
        <v>14</v>
      </c>
      <c r="B468" s="16" t="s">
        <v>332</v>
      </c>
      <c r="C468" s="2"/>
      <c r="D468" s="3" t="s">
        <v>574</v>
      </c>
      <c r="E468" s="14" t="s">
        <v>212</v>
      </c>
      <c r="F468" s="3"/>
      <c r="G468" s="36"/>
      <c r="H468" s="36"/>
      <c r="I468" s="36"/>
      <c r="J468" s="36"/>
      <c r="K468" s="31"/>
      <c r="L468" s="7" t="s">
        <v>575</v>
      </c>
    </row>
    <row r="469" spans="1:14">
      <c r="A469">
        <v>15</v>
      </c>
      <c r="B469" s="16" t="s">
        <v>45</v>
      </c>
      <c r="C469" s="2"/>
      <c r="D469" s="3" t="s">
        <v>17</v>
      </c>
      <c r="E469" s="14" t="s">
        <v>31</v>
      </c>
      <c r="F469" s="3"/>
      <c r="G469" s="36"/>
      <c r="H469" s="36"/>
      <c r="I469" s="36"/>
      <c r="J469" s="36"/>
      <c r="K469" s="31"/>
      <c r="L469" s="7"/>
    </row>
    <row r="470" spans="1:14" ht="19.5" thickBot="1">
      <c r="A470">
        <v>16</v>
      </c>
      <c r="B470" s="17" t="s">
        <v>57</v>
      </c>
      <c r="C470" s="18"/>
      <c r="D470" s="8" t="s">
        <v>56</v>
      </c>
      <c r="E470" s="15" t="s">
        <v>42</v>
      </c>
      <c r="F470" s="8"/>
      <c r="G470" s="37"/>
      <c r="H470" s="37" t="s">
        <v>405</v>
      </c>
      <c r="I470" s="37"/>
      <c r="J470" s="37" t="b">
        <v>1</v>
      </c>
      <c r="K470" s="38"/>
      <c r="L470" s="9"/>
    </row>
    <row r="471" spans="1:14" ht="19.5" thickTop="1">
      <c r="J471" s="43"/>
    </row>
    <row r="472" spans="1:14">
      <c r="B472" t="str">
        <f>HYPERLINK("#'テーブル設計'!B2","テーブル一覧")</f>
        <v>テーブル一覧</v>
      </c>
    </row>
    <row r="473" spans="1:14" ht="19.5" thickBot="1"/>
    <row r="474" spans="1:14" ht="19.5" thickTop="1">
      <c r="B474" s="19" t="s">
        <v>21</v>
      </c>
      <c r="C474" s="4"/>
      <c r="D474" s="5" t="s">
        <v>292</v>
      </c>
      <c r="E474" s="6"/>
      <c r="F474" t="s">
        <v>291</v>
      </c>
      <c r="M474" t="str">
        <f t="shared" ref="M474" si="1">+D474</f>
        <v>specification_sets</v>
      </c>
      <c r="N474">
        <v>472</v>
      </c>
    </row>
    <row r="475" spans="1:14" ht="19.5" thickBot="1">
      <c r="B475" s="17" t="s">
        <v>22</v>
      </c>
      <c r="C475" s="15"/>
      <c r="D475" s="76" t="s">
        <v>403</v>
      </c>
      <c r="E475" s="20"/>
    </row>
    <row r="476" spans="1:14" ht="19.5" thickTop="1"/>
    <row r="477" spans="1:14">
      <c r="B477" s="1" t="s">
        <v>23</v>
      </c>
      <c r="C477" s="14"/>
    </row>
    <row r="478" spans="1:14">
      <c r="C478" t="s">
        <v>603</v>
      </c>
    </row>
    <row r="479" spans="1:14">
      <c r="C479" t="s">
        <v>604</v>
      </c>
    </row>
    <row r="482" spans="2:3">
      <c r="B482" s="1" t="s">
        <v>24</v>
      </c>
      <c r="C482" s="14"/>
    </row>
    <row r="483" spans="2:3">
      <c r="C483" t="s">
        <v>25</v>
      </c>
    </row>
    <row r="485" spans="2:3">
      <c r="B485" s="1" t="s">
        <v>26</v>
      </c>
      <c r="C485" s="14"/>
    </row>
    <row r="486" spans="2:3">
      <c r="C486" s="10" t="s">
        <v>605</v>
      </c>
    </row>
    <row r="487" spans="2:3">
      <c r="C487" t="s">
        <v>606</v>
      </c>
    </row>
    <row r="491" spans="2:3">
      <c r="B491" s="1" t="s">
        <v>49</v>
      </c>
      <c r="C491" s="14"/>
    </row>
    <row r="492" spans="2:3">
      <c r="C492" s="24" t="s">
        <v>424</v>
      </c>
    </row>
    <row r="493" spans="2:3">
      <c r="C493" s="24" t="s">
        <v>425</v>
      </c>
    </row>
    <row r="500" spans="1:17" ht="19.5" thickBot="1"/>
    <row r="501" spans="1:17" ht="19.5" thickTop="1">
      <c r="B501" s="94" t="s">
        <v>2</v>
      </c>
      <c r="C501" s="95"/>
      <c r="D501" s="11" t="s">
        <v>3</v>
      </c>
      <c r="E501" s="13" t="s">
        <v>4</v>
      </c>
      <c r="F501" s="35" t="s">
        <v>5</v>
      </c>
      <c r="G501" s="35" t="s">
        <v>7</v>
      </c>
      <c r="H501" s="35" t="s">
        <v>27</v>
      </c>
      <c r="I501" s="35" t="s">
        <v>47</v>
      </c>
      <c r="J501" s="11" t="s">
        <v>14</v>
      </c>
      <c r="K501" s="11" t="s">
        <v>15</v>
      </c>
      <c r="L501" s="12" t="s">
        <v>17</v>
      </c>
      <c r="P501" s="29"/>
      <c r="Q501" s="28"/>
    </row>
    <row r="502" spans="1:17">
      <c r="A502">
        <v>1</v>
      </c>
      <c r="B502" s="16" t="s">
        <v>25</v>
      </c>
      <c r="C502" s="2"/>
      <c r="D502" s="41" t="s">
        <v>408</v>
      </c>
      <c r="E502" s="14" t="s">
        <v>29</v>
      </c>
      <c r="F502" s="3" t="s">
        <v>405</v>
      </c>
      <c r="G502" s="36"/>
      <c r="H502" s="36" t="s">
        <v>405</v>
      </c>
      <c r="I502" s="36"/>
      <c r="J502" s="36"/>
      <c r="K502" s="31"/>
      <c r="L502" s="7" t="s">
        <v>219</v>
      </c>
    </row>
    <row r="503" spans="1:17">
      <c r="A503">
        <v>2</v>
      </c>
      <c r="B503" s="16" t="s">
        <v>86</v>
      </c>
      <c r="C503" s="2"/>
      <c r="D503" s="41" t="s">
        <v>409</v>
      </c>
      <c r="E503" s="27" t="s">
        <v>31</v>
      </c>
      <c r="F503" s="3"/>
      <c r="G503" s="36"/>
      <c r="H503" s="36" t="s">
        <v>405</v>
      </c>
      <c r="I503" s="36"/>
      <c r="J503" s="36"/>
      <c r="K503" s="31"/>
      <c r="L503" s="7"/>
    </row>
    <row r="504" spans="1:17">
      <c r="A504">
        <v>3</v>
      </c>
      <c r="B504" s="16" t="s">
        <v>32</v>
      </c>
      <c r="C504" s="2"/>
      <c r="D504" s="41" t="s">
        <v>410</v>
      </c>
      <c r="E504" s="27" t="s">
        <v>31</v>
      </c>
      <c r="F504" s="3"/>
      <c r="G504" s="36"/>
      <c r="H504" s="36" t="s">
        <v>405</v>
      </c>
      <c r="I504" s="36"/>
      <c r="J504" s="36"/>
      <c r="K504" s="31"/>
      <c r="L504" s="7"/>
    </row>
    <row r="505" spans="1:17">
      <c r="A505">
        <v>4</v>
      </c>
      <c r="B505" s="16" t="s">
        <v>89</v>
      </c>
      <c r="C505" s="2"/>
      <c r="D505" s="41" t="s">
        <v>411</v>
      </c>
      <c r="E505" s="27" t="s">
        <v>31</v>
      </c>
      <c r="F505" s="3"/>
      <c r="G505" s="36"/>
      <c r="H505" s="36"/>
      <c r="I505" s="36"/>
      <c r="J505" s="36"/>
      <c r="K505" s="31"/>
      <c r="L505" s="7"/>
    </row>
    <row r="506" spans="1:17">
      <c r="A506">
        <v>5</v>
      </c>
      <c r="B506" s="16" t="s">
        <v>412</v>
      </c>
      <c r="C506" s="2"/>
      <c r="D506" s="3" t="s">
        <v>413</v>
      </c>
      <c r="E506" s="14" t="s">
        <v>31</v>
      </c>
      <c r="F506" s="3"/>
      <c r="G506" s="36"/>
      <c r="H506" s="36"/>
      <c r="I506" s="36"/>
      <c r="J506" s="36"/>
      <c r="K506" s="31"/>
      <c r="L506" s="7"/>
    </row>
    <row r="507" spans="1:17">
      <c r="A507">
        <v>6</v>
      </c>
      <c r="B507" s="16" t="s">
        <v>43</v>
      </c>
      <c r="C507" s="2"/>
      <c r="D507" s="3" t="s">
        <v>61</v>
      </c>
      <c r="E507" s="14" t="s">
        <v>33</v>
      </c>
      <c r="F507" s="3"/>
      <c r="G507" s="36"/>
      <c r="H507" s="36"/>
      <c r="I507" s="36"/>
      <c r="J507" s="36"/>
      <c r="K507" s="31"/>
      <c r="L507" s="7"/>
    </row>
    <row r="508" spans="1:17">
      <c r="A508">
        <v>7</v>
      </c>
      <c r="B508" s="16" t="s">
        <v>44</v>
      </c>
      <c r="C508" s="2"/>
      <c r="D508" s="3" t="s">
        <v>62</v>
      </c>
      <c r="E508" s="14" t="s">
        <v>33</v>
      </c>
      <c r="F508" s="3"/>
      <c r="G508" s="36"/>
      <c r="H508" s="36"/>
      <c r="I508" s="36"/>
      <c r="J508" s="36"/>
      <c r="K508" s="31"/>
      <c r="L508" s="7"/>
    </row>
    <row r="509" spans="1:17">
      <c r="A509">
        <v>8</v>
      </c>
      <c r="B509" s="16" t="s">
        <v>45</v>
      </c>
      <c r="C509" s="2"/>
      <c r="D509" s="3" t="s">
        <v>17</v>
      </c>
      <c r="E509" s="14" t="s">
        <v>31</v>
      </c>
      <c r="F509" s="3"/>
      <c r="G509" s="36"/>
      <c r="H509" s="36"/>
      <c r="I509" s="36"/>
      <c r="J509" s="36"/>
      <c r="K509" s="31"/>
      <c r="L509" s="7"/>
    </row>
    <row r="510" spans="1:17" ht="19.5" thickBot="1">
      <c r="A510">
        <v>9</v>
      </c>
      <c r="B510" s="17" t="s">
        <v>57</v>
      </c>
      <c r="C510" s="18"/>
      <c r="D510" s="8" t="s">
        <v>56</v>
      </c>
      <c r="E510" s="15" t="s">
        <v>42</v>
      </c>
      <c r="F510" s="8"/>
      <c r="G510" s="37"/>
      <c r="H510" s="37" t="s">
        <v>405</v>
      </c>
      <c r="I510" s="37"/>
      <c r="J510" s="37" t="b">
        <v>1</v>
      </c>
      <c r="K510" s="38"/>
      <c r="L510" s="9"/>
    </row>
    <row r="511" spans="1:17" ht="19.5" thickTop="1">
      <c r="J511" s="43"/>
    </row>
    <row r="512" spans="1:17">
      <c r="B512" t="str">
        <f>HYPERLINK("#'テーブル設計'!B2","テーブル一覧")</f>
        <v>テーブル一覧</v>
      </c>
    </row>
    <row r="513" spans="2:14" ht="19.5" thickBot="1"/>
    <row r="514" spans="2:14" ht="19.5" thickTop="1">
      <c r="B514" s="19" t="s">
        <v>21</v>
      </c>
      <c r="C514" s="4"/>
      <c r="D514" s="5" t="s">
        <v>401</v>
      </c>
      <c r="E514" s="6"/>
      <c r="F514" s="24" t="s">
        <v>397</v>
      </c>
      <c r="M514" t="str">
        <f t="shared" ref="M514" si="2">+D514</f>
        <v>specification_set_items</v>
      </c>
      <c r="N514">
        <v>512</v>
      </c>
    </row>
    <row r="515" spans="2:14" ht="19.5" thickBot="1">
      <c r="B515" s="17" t="s">
        <v>22</v>
      </c>
      <c r="C515" s="15"/>
      <c r="D515" s="76" t="s">
        <v>402</v>
      </c>
      <c r="E515" s="20"/>
    </row>
    <row r="516" spans="2:14" ht="19.5" thickTop="1"/>
    <row r="517" spans="2:14">
      <c r="B517" s="1" t="s">
        <v>23</v>
      </c>
      <c r="C517" s="14"/>
    </row>
    <row r="518" spans="2:14">
      <c r="C518" t="s">
        <v>607</v>
      </c>
    </row>
    <row r="519" spans="2:14">
      <c r="C519" t="s">
        <v>608</v>
      </c>
    </row>
    <row r="522" spans="2:14">
      <c r="B522" s="1" t="s">
        <v>24</v>
      </c>
      <c r="C522" s="14"/>
    </row>
    <row r="523" spans="2:14">
      <c r="C523" t="s">
        <v>25</v>
      </c>
    </row>
    <row r="525" spans="2:14">
      <c r="B525" s="1" t="s">
        <v>26</v>
      </c>
      <c r="C525" s="14"/>
    </row>
    <row r="526" spans="2:14">
      <c r="C526" s="10"/>
    </row>
    <row r="531" spans="1:17">
      <c r="B531" s="1" t="s">
        <v>49</v>
      </c>
      <c r="C531" s="14"/>
    </row>
    <row r="532" spans="1:17">
      <c r="C532" s="24" t="s">
        <v>427</v>
      </c>
    </row>
    <row r="540" spans="1:17" ht="19.5" thickBot="1"/>
    <row r="541" spans="1:17" ht="19.5" thickTop="1">
      <c r="B541" s="94" t="s">
        <v>2</v>
      </c>
      <c r="C541" s="95"/>
      <c r="D541" s="11" t="s">
        <v>3</v>
      </c>
      <c r="E541" s="13" t="s">
        <v>4</v>
      </c>
      <c r="F541" s="35" t="s">
        <v>5</v>
      </c>
      <c r="G541" s="35" t="s">
        <v>7</v>
      </c>
      <c r="H541" s="35" t="s">
        <v>27</v>
      </c>
      <c r="I541" s="35" t="s">
        <v>47</v>
      </c>
      <c r="J541" s="11" t="s">
        <v>14</v>
      </c>
      <c r="K541" s="11" t="s">
        <v>15</v>
      </c>
      <c r="L541" s="12" t="s">
        <v>17</v>
      </c>
      <c r="P541" s="29"/>
      <c r="Q541" s="28"/>
    </row>
    <row r="542" spans="1:17">
      <c r="A542">
        <v>1</v>
      </c>
      <c r="B542" s="16" t="s">
        <v>25</v>
      </c>
      <c r="C542" s="2"/>
      <c r="D542" s="41" t="s">
        <v>414</v>
      </c>
      <c r="E542" s="14" t="s">
        <v>29</v>
      </c>
      <c r="F542" s="3" t="s">
        <v>405</v>
      </c>
      <c r="G542" s="36"/>
      <c r="H542" s="36" t="s">
        <v>405</v>
      </c>
      <c r="I542" s="36"/>
      <c r="J542" s="36"/>
      <c r="K542" s="31"/>
      <c r="L542" s="7" t="s">
        <v>219</v>
      </c>
    </row>
    <row r="543" spans="1:17">
      <c r="A543">
        <v>2</v>
      </c>
      <c r="B543" s="16" t="s">
        <v>415</v>
      </c>
      <c r="C543" s="2"/>
      <c r="D543" s="41" t="s">
        <v>408</v>
      </c>
      <c r="E543" s="27" t="s">
        <v>29</v>
      </c>
      <c r="F543" s="3"/>
      <c r="G543" s="36" t="s">
        <v>416</v>
      </c>
      <c r="H543" s="36" t="s">
        <v>405</v>
      </c>
      <c r="I543" s="36"/>
      <c r="J543" s="36"/>
      <c r="K543" s="31" t="s">
        <v>417</v>
      </c>
      <c r="L543" s="7"/>
    </row>
    <row r="544" spans="1:17">
      <c r="A544">
        <v>3</v>
      </c>
      <c r="B544" s="16" t="s">
        <v>120</v>
      </c>
      <c r="C544" s="2"/>
      <c r="D544" s="41" t="s">
        <v>102</v>
      </c>
      <c r="E544" s="27" t="s">
        <v>29</v>
      </c>
      <c r="F544" s="3"/>
      <c r="G544" s="36" t="s">
        <v>416</v>
      </c>
      <c r="H544" s="36" t="s">
        <v>405</v>
      </c>
      <c r="I544" s="36"/>
      <c r="J544" s="36"/>
      <c r="K544" s="31" t="s">
        <v>385</v>
      </c>
      <c r="L544" s="7"/>
    </row>
    <row r="545" spans="1:14">
      <c r="A545">
        <v>4</v>
      </c>
      <c r="B545" s="16" t="s">
        <v>418</v>
      </c>
      <c r="C545" s="2"/>
      <c r="D545" s="41" t="s">
        <v>419</v>
      </c>
      <c r="E545" s="27" t="s">
        <v>31</v>
      </c>
      <c r="F545" s="3"/>
      <c r="G545" s="36"/>
      <c r="H545" s="36"/>
      <c r="I545" s="36"/>
      <c r="J545" s="36"/>
      <c r="K545" s="31"/>
      <c r="L545" s="7"/>
    </row>
    <row r="546" spans="1:14">
      <c r="A546">
        <v>5</v>
      </c>
      <c r="B546" s="16" t="s">
        <v>420</v>
      </c>
      <c r="C546" s="2"/>
      <c r="D546" s="3" t="s">
        <v>421</v>
      </c>
      <c r="E546" s="14" t="s">
        <v>31</v>
      </c>
      <c r="F546" s="3"/>
      <c r="G546" s="36"/>
      <c r="H546" s="36"/>
      <c r="I546" s="36"/>
      <c r="J546" s="36"/>
      <c r="K546" s="31"/>
      <c r="L546" s="7"/>
    </row>
    <row r="547" spans="1:14">
      <c r="A547">
        <v>6</v>
      </c>
      <c r="B547" s="16" t="s">
        <v>123</v>
      </c>
      <c r="C547" s="2"/>
      <c r="D547" s="3" t="s">
        <v>374</v>
      </c>
      <c r="E547" s="14" t="s">
        <v>29</v>
      </c>
      <c r="F547" s="3"/>
      <c r="G547" s="36"/>
      <c r="H547" s="36" t="s">
        <v>405</v>
      </c>
      <c r="I547" s="36"/>
      <c r="J547" s="36"/>
      <c r="K547" s="31"/>
      <c r="L547" s="7" t="s">
        <v>428</v>
      </c>
    </row>
    <row r="548" spans="1:14">
      <c r="A548">
        <v>7</v>
      </c>
      <c r="B548" s="16" t="s">
        <v>121</v>
      </c>
      <c r="C548" s="2"/>
      <c r="D548" s="3" t="s">
        <v>122</v>
      </c>
      <c r="E548" s="14" t="s">
        <v>31</v>
      </c>
      <c r="F548" s="3"/>
      <c r="G548" s="36"/>
      <c r="H548" s="36" t="s">
        <v>405</v>
      </c>
      <c r="I548" s="36"/>
      <c r="J548" s="36"/>
      <c r="K548" s="31"/>
      <c r="L548" s="7"/>
    </row>
    <row r="549" spans="1:14">
      <c r="A549">
        <v>8</v>
      </c>
      <c r="B549" s="68" t="s">
        <v>45</v>
      </c>
      <c r="C549" s="10"/>
      <c r="D549" s="69" t="s">
        <v>17</v>
      </c>
      <c r="E549" s="83" t="s">
        <v>31</v>
      </c>
      <c r="F549" s="69"/>
      <c r="G549" s="70"/>
      <c r="H549" s="70"/>
      <c r="I549" s="70"/>
      <c r="J549" s="70"/>
      <c r="K549" s="71"/>
      <c r="L549" s="84"/>
    </row>
    <row r="550" spans="1:14" ht="19.5" thickBot="1">
      <c r="A550">
        <v>9</v>
      </c>
      <c r="B550" s="17" t="s">
        <v>57</v>
      </c>
      <c r="C550" s="18"/>
      <c r="D550" s="8" t="s">
        <v>56</v>
      </c>
      <c r="E550" s="15" t="s">
        <v>42</v>
      </c>
      <c r="F550" s="8"/>
      <c r="G550" s="37"/>
      <c r="H550" s="37" t="s">
        <v>405</v>
      </c>
      <c r="I550" s="37"/>
      <c r="J550" s="37" t="b">
        <v>1</v>
      </c>
      <c r="K550" s="38"/>
      <c r="L550" s="9"/>
    </row>
    <row r="551" spans="1:14" ht="19.5" thickTop="1">
      <c r="J551" s="43"/>
    </row>
    <row r="552" spans="1:14">
      <c r="B552" t="str">
        <f>HYPERLINK("#'テーブル設計'!B2","テーブル一覧")</f>
        <v>テーブル一覧</v>
      </c>
    </row>
    <row r="553" spans="1:14" ht="19.5" thickBot="1"/>
    <row r="554" spans="1:14" ht="19.5" thickTop="1">
      <c r="B554" s="19" t="s">
        <v>21</v>
      </c>
      <c r="C554" s="4"/>
      <c r="D554" s="47" t="s">
        <v>404</v>
      </c>
      <c r="E554" s="6"/>
      <c r="F554" t="s">
        <v>293</v>
      </c>
      <c r="M554" t="str">
        <f t="shared" ref="M554:M592" si="3">+D554</f>
        <v>project_specifications</v>
      </c>
      <c r="N554">
        <v>552</v>
      </c>
    </row>
    <row r="555" spans="1:14" ht="19.5" thickBot="1">
      <c r="B555" s="17" t="s">
        <v>22</v>
      </c>
      <c r="C555" s="15"/>
      <c r="D555" s="21" t="s">
        <v>399</v>
      </c>
      <c r="E555" s="20"/>
    </row>
    <row r="556" spans="1:14" ht="19.5" thickTop="1"/>
    <row r="557" spans="1:14">
      <c r="B557" s="1" t="s">
        <v>23</v>
      </c>
      <c r="C557" s="14"/>
    </row>
    <row r="558" spans="1:14">
      <c r="C558" t="s">
        <v>609</v>
      </c>
    </row>
    <row r="559" spans="1:14">
      <c r="C559" t="s">
        <v>610</v>
      </c>
    </row>
    <row r="562" spans="2:3">
      <c r="B562" s="1" t="s">
        <v>24</v>
      </c>
      <c r="C562" s="14"/>
    </row>
    <row r="563" spans="2:3">
      <c r="C563" t="s">
        <v>25</v>
      </c>
    </row>
    <row r="565" spans="2:3">
      <c r="B565" s="1" t="s">
        <v>26</v>
      </c>
      <c r="C565" s="14"/>
    </row>
    <row r="566" spans="2:3">
      <c r="C566" s="10"/>
    </row>
    <row r="571" spans="2:3">
      <c r="B571" s="1" t="s">
        <v>49</v>
      </c>
      <c r="C571" s="14"/>
    </row>
    <row r="572" spans="2:3">
      <c r="C572" s="24" t="s">
        <v>611</v>
      </c>
    </row>
    <row r="573" spans="2:3">
      <c r="C573" s="24" t="s">
        <v>612</v>
      </c>
    </row>
    <row r="574" spans="2:3">
      <c r="C574" s="24"/>
    </row>
    <row r="580" spans="1:17" ht="19.5" thickBot="1"/>
    <row r="581" spans="1:17" ht="19.5" thickTop="1">
      <c r="B581" s="94" t="s">
        <v>2</v>
      </c>
      <c r="C581" s="95"/>
      <c r="D581" s="11" t="s">
        <v>3</v>
      </c>
      <c r="E581" s="13" t="s">
        <v>4</v>
      </c>
      <c r="F581" s="35" t="s">
        <v>5</v>
      </c>
      <c r="G581" s="35" t="s">
        <v>7</v>
      </c>
      <c r="H581" s="35" t="s">
        <v>27</v>
      </c>
      <c r="I581" s="35" t="s">
        <v>47</v>
      </c>
      <c r="J581" s="11" t="s">
        <v>14</v>
      </c>
      <c r="K581" s="11" t="s">
        <v>15</v>
      </c>
      <c r="L581" s="12" t="s">
        <v>17</v>
      </c>
      <c r="P581" s="29"/>
      <c r="Q581" s="28"/>
    </row>
    <row r="582" spans="1:17">
      <c r="A582">
        <v>1</v>
      </c>
      <c r="B582" s="16" t="s">
        <v>25</v>
      </c>
      <c r="C582" s="2"/>
      <c r="D582" s="41" t="s">
        <v>422</v>
      </c>
      <c r="E582" s="14" t="s">
        <v>29</v>
      </c>
      <c r="F582" s="3" t="s">
        <v>405</v>
      </c>
      <c r="G582" s="36"/>
      <c r="H582" s="36" t="s">
        <v>405</v>
      </c>
      <c r="I582" s="36"/>
      <c r="J582" s="36"/>
      <c r="K582" s="31"/>
      <c r="L582" s="7" t="s">
        <v>219</v>
      </c>
    </row>
    <row r="583" spans="1:17">
      <c r="A583">
        <v>2</v>
      </c>
      <c r="B583" s="16" t="s">
        <v>119</v>
      </c>
      <c r="C583" s="2"/>
      <c r="D583" s="3" t="s">
        <v>100</v>
      </c>
      <c r="E583" s="14" t="s">
        <v>29</v>
      </c>
      <c r="F583" s="3"/>
      <c r="G583" s="36" t="s">
        <v>416</v>
      </c>
      <c r="H583" s="36" t="s">
        <v>405</v>
      </c>
      <c r="I583" s="36"/>
      <c r="J583" s="36"/>
      <c r="K583" s="31" t="s">
        <v>378</v>
      </c>
      <c r="L583" s="7"/>
    </row>
    <row r="584" spans="1:17">
      <c r="A584">
        <v>3</v>
      </c>
      <c r="B584" s="16" t="s">
        <v>415</v>
      </c>
      <c r="C584" s="2"/>
      <c r="D584" s="3" t="s">
        <v>408</v>
      </c>
      <c r="E584" s="14" t="s">
        <v>29</v>
      </c>
      <c r="F584" s="3"/>
      <c r="G584" s="36" t="s">
        <v>416</v>
      </c>
      <c r="H584" s="36" t="s">
        <v>405</v>
      </c>
      <c r="I584" s="36"/>
      <c r="J584" s="36"/>
      <c r="K584" s="30" t="s">
        <v>423</v>
      </c>
      <c r="L584" s="7"/>
    </row>
    <row r="585" spans="1:17">
      <c r="A585">
        <v>4</v>
      </c>
      <c r="B585" s="16" t="s">
        <v>124</v>
      </c>
      <c r="C585" s="2"/>
      <c r="D585" s="3" t="s">
        <v>125</v>
      </c>
      <c r="E585" s="14" t="s">
        <v>33</v>
      </c>
      <c r="F585" s="3"/>
      <c r="G585" s="36"/>
      <c r="H585" s="36"/>
      <c r="I585" s="36"/>
      <c r="J585" s="36"/>
      <c r="K585" s="31"/>
      <c r="L585" s="7"/>
    </row>
    <row r="586" spans="1:17">
      <c r="A586">
        <v>5</v>
      </c>
      <c r="B586" s="16" t="s">
        <v>126</v>
      </c>
      <c r="C586" s="2"/>
      <c r="D586" s="3" t="s">
        <v>127</v>
      </c>
      <c r="E586" s="14" t="s">
        <v>31</v>
      </c>
      <c r="F586" s="3"/>
      <c r="G586" s="36"/>
      <c r="H586" s="36"/>
      <c r="I586" s="36"/>
      <c r="J586" s="36"/>
      <c r="K586" s="31"/>
      <c r="L586" s="7"/>
    </row>
    <row r="587" spans="1:17">
      <c r="A587">
        <v>6</v>
      </c>
      <c r="B587" s="68" t="s">
        <v>128</v>
      </c>
      <c r="C587" s="10"/>
      <c r="D587" s="69" t="s">
        <v>17</v>
      </c>
      <c r="E587" s="83" t="s">
        <v>31</v>
      </c>
      <c r="F587" s="69"/>
      <c r="G587" s="70"/>
      <c r="H587" s="70"/>
      <c r="I587" s="70"/>
      <c r="J587" s="70"/>
      <c r="K587" s="71"/>
      <c r="L587" s="84"/>
    </row>
    <row r="588" spans="1:17" ht="19.5" thickBot="1">
      <c r="A588">
        <v>7</v>
      </c>
      <c r="B588" s="17" t="s">
        <v>57</v>
      </c>
      <c r="C588" s="18"/>
      <c r="D588" s="8" t="s">
        <v>56</v>
      </c>
      <c r="E588" s="15" t="s">
        <v>42</v>
      </c>
      <c r="F588" s="8"/>
      <c r="G588" s="37"/>
      <c r="H588" s="37" t="s">
        <v>405</v>
      </c>
      <c r="I588" s="37"/>
      <c r="J588" s="37" t="b">
        <v>1</v>
      </c>
      <c r="K588" s="38"/>
      <c r="L588" s="9"/>
    </row>
    <row r="589" spans="1:17" ht="19.5" thickTop="1">
      <c r="J589" s="43"/>
    </row>
    <row r="590" spans="1:17">
      <c r="B590" t="str">
        <f>HYPERLINK("#'テーブル設計'!B2","テーブル一覧")</f>
        <v>テーブル一覧</v>
      </c>
    </row>
    <row r="591" spans="1:17" ht="19.5" thickBot="1"/>
    <row r="592" spans="1:17" ht="19.5" thickTop="1">
      <c r="B592" s="19" t="s">
        <v>21</v>
      </c>
      <c r="C592" s="4"/>
      <c r="D592" s="5" t="s">
        <v>69</v>
      </c>
      <c r="E592" s="6"/>
      <c r="F592" t="s">
        <v>294</v>
      </c>
      <c r="M592" t="str">
        <f t="shared" si="3"/>
        <v>fluids</v>
      </c>
      <c r="N592">
        <v>590</v>
      </c>
    </row>
    <row r="593" spans="2:5" ht="19.5" thickBot="1">
      <c r="B593" s="17" t="s">
        <v>22</v>
      </c>
      <c r="C593" s="15"/>
      <c r="D593" s="21" t="s">
        <v>70</v>
      </c>
      <c r="E593" s="20"/>
    </row>
    <row r="594" spans="2:5" ht="19.5" thickTop="1"/>
    <row r="595" spans="2:5">
      <c r="B595" s="1" t="s">
        <v>23</v>
      </c>
      <c r="C595" s="14"/>
    </row>
    <row r="596" spans="2:5">
      <c r="C596" s="24" t="s">
        <v>146</v>
      </c>
    </row>
    <row r="600" spans="2:5">
      <c r="B600" s="1" t="s">
        <v>24</v>
      </c>
      <c r="C600" s="14"/>
    </row>
    <row r="601" spans="2:5">
      <c r="C601" t="s">
        <v>25</v>
      </c>
    </row>
    <row r="603" spans="2:5">
      <c r="B603" s="1" t="s">
        <v>26</v>
      </c>
      <c r="C603" s="14"/>
    </row>
    <row r="604" spans="2:5">
      <c r="C604" s="10"/>
    </row>
    <row r="609" spans="1:17">
      <c r="B609" s="1" t="s">
        <v>49</v>
      </c>
      <c r="C609" s="14"/>
    </row>
    <row r="610" spans="1:17">
      <c r="C610" s="24" t="s">
        <v>145</v>
      </c>
      <c r="D610" t="s">
        <v>129</v>
      </c>
      <c r="E610" t="s">
        <v>130</v>
      </c>
    </row>
    <row r="611" spans="1:17">
      <c r="D611" t="s">
        <v>131</v>
      </c>
      <c r="E611" t="s">
        <v>132</v>
      </c>
    </row>
    <row r="612" spans="1:17">
      <c r="D612" t="s">
        <v>133</v>
      </c>
      <c r="E612" t="s">
        <v>134</v>
      </c>
    </row>
    <row r="613" spans="1:17">
      <c r="D613" t="s">
        <v>135</v>
      </c>
      <c r="E613" t="s">
        <v>136</v>
      </c>
    </row>
    <row r="614" spans="1:17">
      <c r="D614" t="s">
        <v>137</v>
      </c>
      <c r="E614" t="s">
        <v>138</v>
      </c>
    </row>
    <row r="615" spans="1:17">
      <c r="D615" t="s">
        <v>139</v>
      </c>
      <c r="E615" t="s">
        <v>140</v>
      </c>
    </row>
    <row r="616" spans="1:17">
      <c r="D616" t="s">
        <v>141</v>
      </c>
      <c r="E616" t="s">
        <v>142</v>
      </c>
    </row>
    <row r="617" spans="1:17">
      <c r="D617" t="s">
        <v>143</v>
      </c>
      <c r="E617" t="s">
        <v>144</v>
      </c>
    </row>
    <row r="618" spans="1:17" ht="19.5" thickBot="1"/>
    <row r="619" spans="1:17" ht="19.5" thickTop="1">
      <c r="B619" s="94" t="s">
        <v>2</v>
      </c>
      <c r="C619" s="95"/>
      <c r="D619" s="11" t="s">
        <v>3</v>
      </c>
      <c r="E619" s="13" t="s">
        <v>4</v>
      </c>
      <c r="F619" s="35" t="s">
        <v>5</v>
      </c>
      <c r="G619" s="35" t="s">
        <v>7</v>
      </c>
      <c r="H619" s="35" t="s">
        <v>27</v>
      </c>
      <c r="I619" s="35" t="s">
        <v>47</v>
      </c>
      <c r="J619" s="11" t="s">
        <v>14</v>
      </c>
      <c r="K619" s="11" t="s">
        <v>15</v>
      </c>
      <c r="L619" s="12" t="s">
        <v>17</v>
      </c>
      <c r="P619" s="29"/>
      <c r="Q619" s="28"/>
    </row>
    <row r="620" spans="1:17">
      <c r="A620">
        <v>1</v>
      </c>
      <c r="B620" s="16" t="s">
        <v>25</v>
      </c>
      <c r="C620" s="2"/>
      <c r="D620" s="3" t="s">
        <v>147</v>
      </c>
      <c r="E620" s="14" t="s">
        <v>29</v>
      </c>
      <c r="F620" s="3" t="s">
        <v>30</v>
      </c>
      <c r="G620" s="36"/>
      <c r="H620" s="36" t="s">
        <v>30</v>
      </c>
      <c r="I620" s="36" t="s">
        <v>30</v>
      </c>
      <c r="J620" s="36"/>
      <c r="K620" s="31"/>
      <c r="L620" s="7" t="s">
        <v>219</v>
      </c>
    </row>
    <row r="621" spans="1:17">
      <c r="A621">
        <v>2</v>
      </c>
      <c r="B621" s="16" t="s">
        <v>86</v>
      </c>
      <c r="C621" s="2"/>
      <c r="D621" s="3" t="s">
        <v>148</v>
      </c>
      <c r="E621" s="14" t="s">
        <v>31</v>
      </c>
      <c r="F621" s="3"/>
      <c r="G621" s="36"/>
      <c r="H621" s="36" t="s">
        <v>30</v>
      </c>
      <c r="I621" s="36" t="s">
        <v>30</v>
      </c>
      <c r="J621" s="36"/>
      <c r="K621" s="31"/>
      <c r="L621" s="7"/>
    </row>
    <row r="622" spans="1:17">
      <c r="A622">
        <v>3</v>
      </c>
      <c r="B622" s="16" t="s">
        <v>32</v>
      </c>
      <c r="C622" s="2"/>
      <c r="D622" s="3" t="s">
        <v>149</v>
      </c>
      <c r="E622" s="46" t="s">
        <v>31</v>
      </c>
      <c r="F622" s="3"/>
      <c r="G622" s="36"/>
      <c r="H622" s="36"/>
      <c r="I622" s="36"/>
      <c r="J622" s="36"/>
      <c r="K622" s="31"/>
      <c r="L622" s="7"/>
    </row>
    <row r="623" spans="1:17">
      <c r="A623">
        <v>4</v>
      </c>
      <c r="B623" s="16" t="s">
        <v>150</v>
      </c>
      <c r="C623" s="2"/>
      <c r="D623" s="3" t="s">
        <v>151</v>
      </c>
      <c r="E623" s="14" t="s">
        <v>31</v>
      </c>
      <c r="F623" s="3"/>
      <c r="G623" s="36"/>
      <c r="H623" s="36"/>
      <c r="I623" s="36"/>
      <c r="J623" s="36"/>
      <c r="K623" s="31"/>
      <c r="L623" s="7"/>
    </row>
    <row r="624" spans="1:17">
      <c r="A624">
        <v>5</v>
      </c>
      <c r="B624" s="16" t="s">
        <v>89</v>
      </c>
      <c r="C624" s="2"/>
      <c r="D624" s="3" t="s">
        <v>152</v>
      </c>
      <c r="E624" s="14" t="s">
        <v>31</v>
      </c>
      <c r="F624" s="3"/>
      <c r="G624" s="36"/>
      <c r="H624" s="36"/>
      <c r="I624" s="36"/>
      <c r="J624" s="36"/>
      <c r="K624" s="31"/>
      <c r="L624" s="7"/>
    </row>
    <row r="625" spans="1:14">
      <c r="A625">
        <v>6</v>
      </c>
      <c r="B625" s="16" t="s">
        <v>153</v>
      </c>
      <c r="C625" s="2"/>
      <c r="D625" s="3" t="s">
        <v>154</v>
      </c>
      <c r="E625" s="14" t="s">
        <v>31</v>
      </c>
      <c r="F625" s="3"/>
      <c r="G625" s="36"/>
      <c r="H625" s="36"/>
      <c r="I625" s="36"/>
      <c r="J625" s="36"/>
      <c r="K625" s="31"/>
      <c r="L625" s="7"/>
    </row>
    <row r="626" spans="1:14">
      <c r="A626">
        <v>7</v>
      </c>
      <c r="B626" s="16" t="s">
        <v>155</v>
      </c>
      <c r="C626" s="2"/>
      <c r="D626" s="3" t="s">
        <v>156</v>
      </c>
      <c r="E626" s="14" t="s">
        <v>31</v>
      </c>
      <c r="F626" s="3"/>
      <c r="G626" s="36"/>
      <c r="H626" s="36"/>
      <c r="I626" s="36"/>
      <c r="J626" s="36"/>
      <c r="K626" s="31"/>
      <c r="L626" s="7"/>
    </row>
    <row r="627" spans="1:14">
      <c r="A627">
        <v>8</v>
      </c>
      <c r="B627" s="16" t="s">
        <v>157</v>
      </c>
      <c r="C627" s="2"/>
      <c r="D627" s="3" t="s">
        <v>158</v>
      </c>
      <c r="E627" s="14" t="s">
        <v>29</v>
      </c>
      <c r="F627" s="36"/>
      <c r="G627" s="36"/>
      <c r="H627" s="36"/>
      <c r="I627" s="36"/>
      <c r="J627" s="30"/>
      <c r="K627" s="3"/>
      <c r="L627" s="7"/>
    </row>
    <row r="628" spans="1:14" ht="19.5" thickBot="1">
      <c r="A628">
        <v>9</v>
      </c>
      <c r="B628" s="17" t="s">
        <v>57</v>
      </c>
      <c r="C628" s="18"/>
      <c r="D628" s="8" t="s">
        <v>56</v>
      </c>
      <c r="E628" s="15" t="s">
        <v>42</v>
      </c>
      <c r="F628" s="37"/>
      <c r="G628" s="37"/>
      <c r="H628" s="82" t="s">
        <v>426</v>
      </c>
      <c r="I628" s="37"/>
      <c r="J628" s="38" t="b">
        <v>1</v>
      </c>
      <c r="K628" s="8"/>
      <c r="L628" s="9"/>
    </row>
    <row r="629" spans="1:14" ht="19.5" thickTop="1">
      <c r="J629" s="43"/>
    </row>
    <row r="630" spans="1:14">
      <c r="B630" t="str">
        <f>HYPERLINK("#'テーブル設計'!B2","テーブル一覧")</f>
        <v>テーブル一覧</v>
      </c>
    </row>
    <row r="631" spans="1:14" ht="19.5" thickBot="1"/>
    <row r="632" spans="1:14" ht="19.5" thickTop="1">
      <c r="B632" s="19" t="s">
        <v>21</v>
      </c>
      <c r="C632" s="4"/>
      <c r="D632" s="47" t="s">
        <v>485</v>
      </c>
      <c r="E632" s="6"/>
      <c r="F632" t="s">
        <v>295</v>
      </c>
      <c r="M632" t="str">
        <f t="shared" ref="M632" si="4">+D632</f>
        <v>work_locations</v>
      </c>
      <c r="N632">
        <v>630</v>
      </c>
    </row>
    <row r="633" spans="1:14" ht="19.5" thickBot="1">
      <c r="B633" s="17" t="s">
        <v>22</v>
      </c>
      <c r="C633" s="15"/>
      <c r="D633" s="21" t="s">
        <v>296</v>
      </c>
      <c r="E633" s="20"/>
    </row>
    <row r="634" spans="1:14" ht="19.5" thickTop="1"/>
    <row r="635" spans="1:14">
      <c r="B635" s="1" t="s">
        <v>23</v>
      </c>
      <c r="C635" s="14"/>
    </row>
    <row r="636" spans="1:14">
      <c r="C636" t="s">
        <v>174</v>
      </c>
    </row>
    <row r="640" spans="1:14">
      <c r="B640" s="1" t="s">
        <v>24</v>
      </c>
      <c r="C640" s="14"/>
    </row>
    <row r="641" spans="2:5">
      <c r="C641" t="s">
        <v>25</v>
      </c>
    </row>
    <row r="643" spans="2:5">
      <c r="B643" s="1" t="s">
        <v>26</v>
      </c>
      <c r="C643" s="14"/>
    </row>
    <row r="644" spans="2:5">
      <c r="C644" s="10"/>
    </row>
    <row r="649" spans="2:5">
      <c r="B649" s="1" t="s">
        <v>49</v>
      </c>
      <c r="C649" s="14"/>
    </row>
    <row r="650" spans="2:5">
      <c r="C650" s="24" t="s">
        <v>159</v>
      </c>
    </row>
    <row r="651" spans="2:5">
      <c r="D651" t="s">
        <v>160</v>
      </c>
      <c r="E651" t="s">
        <v>161</v>
      </c>
    </row>
    <row r="652" spans="2:5">
      <c r="D652" t="s">
        <v>162</v>
      </c>
      <c r="E652" t="s">
        <v>163</v>
      </c>
    </row>
    <row r="653" spans="2:5">
      <c r="D653" t="s">
        <v>164</v>
      </c>
      <c r="E653" t="s">
        <v>165</v>
      </c>
    </row>
    <row r="654" spans="2:5">
      <c r="D654" t="s">
        <v>166</v>
      </c>
      <c r="E654" t="s">
        <v>167</v>
      </c>
    </row>
    <row r="655" spans="2:5">
      <c r="D655" t="s">
        <v>168</v>
      </c>
      <c r="E655" t="s">
        <v>169</v>
      </c>
    </row>
    <row r="656" spans="2:5">
      <c r="D656" t="s">
        <v>170</v>
      </c>
      <c r="E656" t="s">
        <v>171</v>
      </c>
    </row>
    <row r="657" spans="1:17">
      <c r="D657" t="s">
        <v>172</v>
      </c>
      <c r="E657" t="s">
        <v>173</v>
      </c>
    </row>
    <row r="658" spans="1:17" ht="19.5" thickBot="1"/>
    <row r="659" spans="1:17" ht="19.5" thickTop="1">
      <c r="B659" s="94" t="s">
        <v>2</v>
      </c>
      <c r="C659" s="95"/>
      <c r="D659" s="11" t="s">
        <v>3</v>
      </c>
      <c r="E659" s="13" t="s">
        <v>4</v>
      </c>
      <c r="F659" s="35" t="s">
        <v>5</v>
      </c>
      <c r="G659" s="35" t="s">
        <v>7</v>
      </c>
      <c r="H659" s="35" t="s">
        <v>27</v>
      </c>
      <c r="I659" s="35" t="s">
        <v>47</v>
      </c>
      <c r="J659" s="11" t="s">
        <v>14</v>
      </c>
      <c r="K659" s="11" t="s">
        <v>15</v>
      </c>
      <c r="L659" s="12" t="s">
        <v>17</v>
      </c>
      <c r="P659" s="29"/>
      <c r="Q659" s="28"/>
    </row>
    <row r="660" spans="1:17">
      <c r="A660">
        <v>1</v>
      </c>
      <c r="B660" s="16" t="s">
        <v>25</v>
      </c>
      <c r="C660" s="2"/>
      <c r="D660" s="3" t="s">
        <v>175</v>
      </c>
      <c r="E660" s="14" t="s">
        <v>29</v>
      </c>
      <c r="F660" s="3" t="s">
        <v>30</v>
      </c>
      <c r="G660" s="36"/>
      <c r="H660" s="36" t="s">
        <v>30</v>
      </c>
      <c r="I660" s="36" t="s">
        <v>30</v>
      </c>
      <c r="J660" s="36"/>
      <c r="K660" s="31"/>
      <c r="L660" s="7" t="s">
        <v>219</v>
      </c>
    </row>
    <row r="661" spans="1:17">
      <c r="A661">
        <v>2</v>
      </c>
      <c r="B661" s="16" t="s">
        <v>86</v>
      </c>
      <c r="C661" s="2"/>
      <c r="D661" s="3" t="s">
        <v>176</v>
      </c>
      <c r="E661" s="14" t="s">
        <v>31</v>
      </c>
      <c r="F661" s="3"/>
      <c r="G661" s="36"/>
      <c r="H661" s="36" t="s">
        <v>30</v>
      </c>
      <c r="I661" s="36" t="s">
        <v>30</v>
      </c>
      <c r="J661" s="36"/>
      <c r="K661" s="31"/>
      <c r="L661" s="7"/>
    </row>
    <row r="662" spans="1:17">
      <c r="A662">
        <v>3</v>
      </c>
      <c r="B662" s="16" t="s">
        <v>32</v>
      </c>
      <c r="C662" s="2"/>
      <c r="D662" s="3" t="s">
        <v>177</v>
      </c>
      <c r="E662" s="14" t="s">
        <v>31</v>
      </c>
      <c r="F662" s="3"/>
      <c r="G662" s="36"/>
      <c r="H662" s="36"/>
      <c r="I662" s="36"/>
      <c r="J662" s="36"/>
      <c r="K662" s="31"/>
      <c r="L662" s="7"/>
    </row>
    <row r="663" spans="1:17">
      <c r="A663">
        <v>4</v>
      </c>
      <c r="B663" s="16" t="s">
        <v>150</v>
      </c>
      <c r="C663" s="2"/>
      <c r="D663" s="3" t="s">
        <v>178</v>
      </c>
      <c r="E663" s="14" t="s">
        <v>31</v>
      </c>
      <c r="F663" s="3"/>
      <c r="G663" s="36"/>
      <c r="H663" s="36"/>
      <c r="I663" s="36"/>
      <c r="J663" s="36"/>
      <c r="K663" s="31"/>
      <c r="L663" s="7"/>
    </row>
    <row r="664" spans="1:17">
      <c r="A664">
        <v>5</v>
      </c>
      <c r="B664" s="16" t="s">
        <v>89</v>
      </c>
      <c r="C664" s="2"/>
      <c r="D664" s="3" t="s">
        <v>152</v>
      </c>
      <c r="E664" s="14" t="s">
        <v>31</v>
      </c>
      <c r="F664" s="3"/>
      <c r="G664" s="36"/>
      <c r="H664" s="36"/>
      <c r="I664" s="36"/>
      <c r="J664" s="36"/>
      <c r="K664" s="31"/>
      <c r="L664" s="7"/>
    </row>
    <row r="665" spans="1:17">
      <c r="A665">
        <v>6</v>
      </c>
      <c r="B665" s="16" t="s">
        <v>157</v>
      </c>
      <c r="C665" s="2"/>
      <c r="D665" s="3" t="s">
        <v>158</v>
      </c>
      <c r="E665" s="14" t="s">
        <v>29</v>
      </c>
      <c r="F665" s="36"/>
      <c r="G665" s="36"/>
      <c r="H665" s="36"/>
      <c r="I665" s="36"/>
      <c r="J665" s="30"/>
      <c r="K665" s="3"/>
      <c r="L665" s="7"/>
    </row>
    <row r="666" spans="1:17" ht="19.5" thickBot="1">
      <c r="A666">
        <v>7</v>
      </c>
      <c r="B666" s="17" t="s">
        <v>57</v>
      </c>
      <c r="C666" s="18"/>
      <c r="D666" s="8" t="s">
        <v>56</v>
      </c>
      <c r="E666" s="15" t="s">
        <v>42</v>
      </c>
      <c r="F666" s="37"/>
      <c r="G666" s="37"/>
      <c r="H666" s="82" t="s">
        <v>426</v>
      </c>
      <c r="I666" s="37"/>
      <c r="J666" s="38" t="b">
        <v>1</v>
      </c>
      <c r="K666" s="8"/>
      <c r="L666" s="9"/>
    </row>
    <row r="667" spans="1:17" ht="19.5" thickTop="1">
      <c r="J667" s="43"/>
    </row>
    <row r="668" spans="1:17">
      <c r="B668" t="str">
        <f>HYPERLINK("#'テーブル設計'!B2","テーブル一覧")</f>
        <v>テーブル一覧</v>
      </c>
    </row>
    <row r="669" spans="1:17" ht="19.5" thickBot="1"/>
    <row r="670" spans="1:17" ht="19.5" thickTop="1">
      <c r="B670" s="19" t="s">
        <v>21</v>
      </c>
      <c r="C670" s="4"/>
      <c r="D670" s="5" t="s">
        <v>71</v>
      </c>
      <c r="E670" s="6"/>
      <c r="F670" t="s">
        <v>297</v>
      </c>
      <c r="M670" t="str">
        <f t="shared" ref="M670:M709" si="5">+D670</f>
        <v>pipe_materials</v>
      </c>
      <c r="N670">
        <v>668</v>
      </c>
    </row>
    <row r="671" spans="1:17" ht="19.5" thickBot="1">
      <c r="B671" s="17" t="s">
        <v>22</v>
      </c>
      <c r="C671" s="15"/>
      <c r="D671" s="21" t="s">
        <v>72</v>
      </c>
      <c r="E671" s="20"/>
    </row>
    <row r="672" spans="1:17" ht="19.5" thickTop="1"/>
    <row r="673" spans="2:3">
      <c r="B673" s="1" t="s">
        <v>23</v>
      </c>
      <c r="C673" s="14"/>
    </row>
    <row r="678" spans="2:3">
      <c r="B678" s="1" t="s">
        <v>24</v>
      </c>
      <c r="C678" s="14"/>
    </row>
    <row r="679" spans="2:3">
      <c r="C679" t="s">
        <v>25</v>
      </c>
    </row>
    <row r="681" spans="2:3">
      <c r="B681" s="1" t="s">
        <v>26</v>
      </c>
      <c r="C681" s="14"/>
    </row>
    <row r="682" spans="2:3">
      <c r="C682" s="10"/>
    </row>
    <row r="687" spans="2:3">
      <c r="B687" s="1" t="s">
        <v>49</v>
      </c>
      <c r="C687" s="14"/>
    </row>
    <row r="688" spans="2:3">
      <c r="C688" s="24" t="s">
        <v>179</v>
      </c>
    </row>
    <row r="696" spans="1:17" ht="19.5" thickBot="1"/>
    <row r="697" spans="1:17" ht="19.5" thickTop="1">
      <c r="B697" s="94" t="s">
        <v>2</v>
      </c>
      <c r="C697" s="95"/>
      <c r="D697" s="11" t="s">
        <v>3</v>
      </c>
      <c r="E697" s="13" t="s">
        <v>4</v>
      </c>
      <c r="F697" s="35" t="s">
        <v>5</v>
      </c>
      <c r="G697" s="35" t="s">
        <v>7</v>
      </c>
      <c r="H697" s="35" t="s">
        <v>27</v>
      </c>
      <c r="I697" s="35" t="s">
        <v>47</v>
      </c>
      <c r="J697" s="11" t="s">
        <v>14</v>
      </c>
      <c r="K697" s="11" t="s">
        <v>15</v>
      </c>
      <c r="L697" s="12" t="s">
        <v>17</v>
      </c>
      <c r="P697" s="29"/>
      <c r="Q697" s="28"/>
    </row>
    <row r="698" spans="1:17">
      <c r="A698">
        <v>1</v>
      </c>
      <c r="B698" s="16" t="s">
        <v>25</v>
      </c>
      <c r="C698" s="2"/>
      <c r="D698" s="3" t="s">
        <v>180</v>
      </c>
      <c r="E698" s="14" t="s">
        <v>29</v>
      </c>
      <c r="F698" s="3" t="s">
        <v>30</v>
      </c>
      <c r="G698" s="36"/>
      <c r="H698" s="36" t="s">
        <v>30</v>
      </c>
      <c r="I698" s="36" t="s">
        <v>30</v>
      </c>
      <c r="J698" s="36"/>
      <c r="K698" s="31"/>
      <c r="L698" s="7" t="s">
        <v>219</v>
      </c>
    </row>
    <row r="699" spans="1:17">
      <c r="A699">
        <v>2</v>
      </c>
      <c r="B699" s="16" t="s">
        <v>86</v>
      </c>
      <c r="C699" s="2"/>
      <c r="D699" s="3" t="s">
        <v>181</v>
      </c>
      <c r="E699" s="14" t="s">
        <v>31</v>
      </c>
      <c r="F699" s="3"/>
      <c r="G699" s="36"/>
      <c r="H699" s="36" t="s">
        <v>30</v>
      </c>
      <c r="I699" s="36" t="s">
        <v>30</v>
      </c>
      <c r="J699" s="36"/>
      <c r="K699" s="31"/>
      <c r="L699" s="7"/>
    </row>
    <row r="700" spans="1:17">
      <c r="A700">
        <v>3</v>
      </c>
      <c r="B700" s="16" t="s">
        <v>32</v>
      </c>
      <c r="C700" s="2"/>
      <c r="D700" s="3" t="s">
        <v>182</v>
      </c>
      <c r="E700" s="14" t="s">
        <v>31</v>
      </c>
      <c r="F700" s="3"/>
      <c r="G700" s="36"/>
      <c r="H700" s="36"/>
      <c r="I700" s="36"/>
      <c r="J700" s="36"/>
      <c r="K700" s="31"/>
      <c r="L700" s="7"/>
    </row>
    <row r="701" spans="1:17">
      <c r="A701">
        <v>4</v>
      </c>
      <c r="B701" s="16" t="s">
        <v>183</v>
      </c>
      <c r="C701" s="2"/>
      <c r="D701" s="3" t="s">
        <v>184</v>
      </c>
      <c r="E701" s="14" t="s">
        <v>31</v>
      </c>
      <c r="F701" s="3"/>
      <c r="G701" s="36"/>
      <c r="H701" s="36"/>
      <c r="I701" s="36"/>
      <c r="J701" s="36"/>
      <c r="K701" s="31"/>
      <c r="L701" s="7"/>
    </row>
    <row r="702" spans="1:17">
      <c r="A702">
        <v>5</v>
      </c>
      <c r="B702" s="16" t="s">
        <v>185</v>
      </c>
      <c r="C702" s="2"/>
      <c r="D702" s="3" t="s">
        <v>186</v>
      </c>
      <c r="E702" s="14" t="s">
        <v>31</v>
      </c>
      <c r="F702" s="3"/>
      <c r="G702" s="36"/>
      <c r="H702" s="36"/>
      <c r="I702" s="36"/>
      <c r="J702" s="36"/>
      <c r="K702" s="31"/>
      <c r="L702" s="7"/>
    </row>
    <row r="703" spans="1:17">
      <c r="A703">
        <v>6</v>
      </c>
      <c r="B703" s="16" t="s">
        <v>89</v>
      </c>
      <c r="C703" s="2"/>
      <c r="D703" s="3" t="s">
        <v>152</v>
      </c>
      <c r="E703" s="14" t="s">
        <v>31</v>
      </c>
      <c r="F703" s="3"/>
      <c r="G703" s="36"/>
      <c r="H703" s="36"/>
      <c r="I703" s="36"/>
      <c r="J703" s="36"/>
      <c r="K703" s="31"/>
      <c r="L703" s="7"/>
    </row>
    <row r="704" spans="1:17">
      <c r="A704">
        <v>7</v>
      </c>
      <c r="B704" s="16" t="s">
        <v>153</v>
      </c>
      <c r="C704" s="2"/>
      <c r="D704" s="3" t="s">
        <v>154</v>
      </c>
      <c r="E704" s="14" t="s">
        <v>31</v>
      </c>
      <c r="F704" s="36"/>
      <c r="G704" s="36"/>
      <c r="H704" s="36"/>
      <c r="I704" s="36"/>
      <c r="J704" s="30"/>
      <c r="K704" s="3"/>
      <c r="L704" s="7"/>
    </row>
    <row r="705" spans="1:14" ht="19.5" thickBot="1">
      <c r="A705">
        <v>8</v>
      </c>
      <c r="B705" s="17" t="s">
        <v>57</v>
      </c>
      <c r="C705" s="18"/>
      <c r="D705" s="8" t="s">
        <v>56</v>
      </c>
      <c r="E705" s="15" t="s">
        <v>42</v>
      </c>
      <c r="F705" s="37"/>
      <c r="G705" s="37"/>
      <c r="H705" s="82" t="s">
        <v>426</v>
      </c>
      <c r="I705" s="37"/>
      <c r="J705" s="38" t="b">
        <v>1</v>
      </c>
      <c r="K705" s="8"/>
      <c r="L705" s="9"/>
    </row>
    <row r="706" spans="1:14" ht="19.5" thickTop="1">
      <c r="J706" s="43"/>
    </row>
    <row r="707" spans="1:14">
      <c r="B707" t="str">
        <f>HYPERLINK("#'テーブル設計'!B2","テーブル一覧")</f>
        <v>テーブル一覧</v>
      </c>
    </row>
    <row r="708" spans="1:14" ht="19.5" thickBot="1"/>
    <row r="709" spans="1:14" ht="19.5" thickTop="1">
      <c r="B709" s="19" t="s">
        <v>21</v>
      </c>
      <c r="C709" s="4"/>
      <c r="D709" s="5" t="s">
        <v>73</v>
      </c>
      <c r="E709" s="6"/>
      <c r="F709" t="s">
        <v>298</v>
      </c>
      <c r="M709" t="str">
        <f t="shared" si="5"/>
        <v>pipe_standards</v>
      </c>
      <c r="N709">
        <v>707</v>
      </c>
    </row>
    <row r="710" spans="1:14" ht="19.5" thickBot="1">
      <c r="B710" s="17" t="s">
        <v>22</v>
      </c>
      <c r="C710" s="15"/>
      <c r="D710" s="21" t="s">
        <v>74</v>
      </c>
      <c r="E710" s="20"/>
    </row>
    <row r="711" spans="1:14" ht="19.5" thickTop="1"/>
    <row r="712" spans="1:14">
      <c r="B712" s="1" t="s">
        <v>23</v>
      </c>
      <c r="C712" s="14"/>
    </row>
    <row r="713" spans="1:14">
      <c r="C713" t="s">
        <v>187</v>
      </c>
    </row>
    <row r="717" spans="1:14">
      <c r="B717" s="1" t="s">
        <v>24</v>
      </c>
      <c r="C717" s="14"/>
    </row>
    <row r="718" spans="1:14">
      <c r="C718" t="s">
        <v>25</v>
      </c>
    </row>
    <row r="720" spans="1:14">
      <c r="B720" s="1" t="s">
        <v>26</v>
      </c>
      <c r="C720" s="14"/>
    </row>
    <row r="721" spans="2:17">
      <c r="C721" s="10"/>
    </row>
    <row r="726" spans="2:17">
      <c r="B726" s="1" t="s">
        <v>49</v>
      </c>
      <c r="C726" s="14"/>
    </row>
    <row r="727" spans="2:17">
      <c r="C727" s="24" t="s">
        <v>145</v>
      </c>
    </row>
    <row r="728" spans="2:17">
      <c r="D728" t="s">
        <v>196</v>
      </c>
    </row>
    <row r="729" spans="2:17">
      <c r="D729" t="s">
        <v>197</v>
      </c>
    </row>
    <row r="730" spans="2:17">
      <c r="C730" s="24" t="s">
        <v>198</v>
      </c>
    </row>
    <row r="735" spans="2:17" ht="19.5" thickBot="1"/>
    <row r="736" spans="2:17" ht="19.5" thickTop="1">
      <c r="B736" s="94" t="s">
        <v>2</v>
      </c>
      <c r="C736" s="95"/>
      <c r="D736" s="11" t="s">
        <v>3</v>
      </c>
      <c r="E736" s="13" t="s">
        <v>4</v>
      </c>
      <c r="F736" s="35" t="s">
        <v>5</v>
      </c>
      <c r="G736" s="35" t="s">
        <v>7</v>
      </c>
      <c r="H736" s="35" t="s">
        <v>27</v>
      </c>
      <c r="I736" s="35" t="s">
        <v>47</v>
      </c>
      <c r="J736" s="11" t="s">
        <v>14</v>
      </c>
      <c r="K736" s="11" t="s">
        <v>15</v>
      </c>
      <c r="L736" s="12" t="s">
        <v>17</v>
      </c>
      <c r="P736" s="29"/>
      <c r="Q736" s="28"/>
    </row>
    <row r="737" spans="1:14">
      <c r="A737">
        <v>1</v>
      </c>
      <c r="B737" s="16" t="s">
        <v>25</v>
      </c>
      <c r="C737" s="2"/>
      <c r="D737" s="3" t="s">
        <v>188</v>
      </c>
      <c r="E737" s="14" t="s">
        <v>29</v>
      </c>
      <c r="F737" s="3" t="s">
        <v>30</v>
      </c>
      <c r="G737" s="36"/>
      <c r="H737" s="36" t="s">
        <v>30</v>
      </c>
      <c r="I737" s="36" t="s">
        <v>30</v>
      </c>
      <c r="J737" s="36"/>
      <c r="K737" s="31"/>
      <c r="L737" s="7" t="s">
        <v>219</v>
      </c>
    </row>
    <row r="738" spans="1:14">
      <c r="A738">
        <v>2</v>
      </c>
      <c r="B738" s="16" t="s">
        <v>189</v>
      </c>
      <c r="C738" s="2"/>
      <c r="D738" s="3" t="s">
        <v>180</v>
      </c>
      <c r="E738" s="14" t="s">
        <v>29</v>
      </c>
      <c r="F738" s="3"/>
      <c r="G738" s="36" t="s">
        <v>30</v>
      </c>
      <c r="H738" s="36" t="s">
        <v>30</v>
      </c>
      <c r="I738" s="36"/>
      <c r="J738" s="36"/>
      <c r="K738" s="31" t="s">
        <v>381</v>
      </c>
      <c r="L738" s="7"/>
    </row>
    <row r="739" spans="1:14">
      <c r="A739">
        <v>3</v>
      </c>
      <c r="B739" s="16" t="s">
        <v>120</v>
      </c>
      <c r="C739" s="2"/>
      <c r="D739" s="3" t="s">
        <v>102</v>
      </c>
      <c r="E739" s="14" t="s">
        <v>29</v>
      </c>
      <c r="F739" s="3"/>
      <c r="G739" s="36" t="s">
        <v>30</v>
      </c>
      <c r="H739" s="36"/>
      <c r="I739" s="36"/>
      <c r="J739" s="36"/>
      <c r="K739" s="31" t="s">
        <v>385</v>
      </c>
      <c r="L739" s="7"/>
    </row>
    <row r="740" spans="1:14">
      <c r="A740">
        <v>4</v>
      </c>
      <c r="B740" s="16" t="s">
        <v>190</v>
      </c>
      <c r="C740" s="2"/>
      <c r="D740" s="3" t="s">
        <v>191</v>
      </c>
      <c r="E740" s="14" t="s">
        <v>31</v>
      </c>
      <c r="F740" s="3"/>
      <c r="G740" s="36"/>
      <c r="H740" s="36"/>
      <c r="I740" s="36"/>
      <c r="J740" s="36"/>
      <c r="K740" s="31"/>
      <c r="L740" s="7"/>
    </row>
    <row r="741" spans="1:14">
      <c r="A741">
        <v>5</v>
      </c>
      <c r="B741" s="16" t="s">
        <v>192</v>
      </c>
      <c r="C741" s="2"/>
      <c r="D741" s="3" t="s">
        <v>193</v>
      </c>
      <c r="E741" s="14" t="s">
        <v>31</v>
      </c>
      <c r="F741" s="3"/>
      <c r="G741" s="36"/>
      <c r="H741" s="36"/>
      <c r="I741" s="36"/>
      <c r="J741" s="36"/>
      <c r="K741" s="31"/>
      <c r="L741" s="7"/>
    </row>
    <row r="742" spans="1:14">
      <c r="A742">
        <v>6</v>
      </c>
      <c r="B742" s="16" t="s">
        <v>194</v>
      </c>
      <c r="C742" s="2"/>
      <c r="D742" s="3" t="s">
        <v>195</v>
      </c>
      <c r="E742" s="14" t="s">
        <v>31</v>
      </c>
      <c r="F742" s="3"/>
      <c r="G742" s="36"/>
      <c r="H742" s="36"/>
      <c r="I742" s="36"/>
      <c r="J742" s="36"/>
      <c r="K742" s="31"/>
      <c r="L742" s="7"/>
    </row>
    <row r="743" spans="1:14">
      <c r="A743">
        <v>7</v>
      </c>
      <c r="B743" s="16" t="s">
        <v>40</v>
      </c>
      <c r="C743" s="2"/>
      <c r="D743" s="3" t="s">
        <v>61</v>
      </c>
      <c r="E743" s="14" t="s">
        <v>33</v>
      </c>
      <c r="F743" s="3"/>
      <c r="G743" s="36"/>
      <c r="H743" s="36"/>
      <c r="I743" s="36"/>
      <c r="J743" s="36"/>
      <c r="K743" s="31"/>
      <c r="L743" s="7"/>
    </row>
    <row r="744" spans="1:14">
      <c r="A744">
        <v>8</v>
      </c>
      <c r="B744" s="16" t="s">
        <v>41</v>
      </c>
      <c r="C744" s="2"/>
      <c r="D744" s="3" t="s">
        <v>62</v>
      </c>
      <c r="E744" s="14" t="s">
        <v>33</v>
      </c>
      <c r="F744" s="36"/>
      <c r="G744" s="36"/>
      <c r="H744" s="36"/>
      <c r="I744" s="36"/>
      <c r="J744" s="30"/>
      <c r="K744" s="3"/>
      <c r="L744" s="7"/>
    </row>
    <row r="745" spans="1:14" ht="19.5" thickBot="1">
      <c r="A745">
        <v>9</v>
      </c>
      <c r="B745" s="17" t="s">
        <v>45</v>
      </c>
      <c r="C745" s="18"/>
      <c r="D745" s="8" t="s">
        <v>17</v>
      </c>
      <c r="E745" s="15" t="s">
        <v>31</v>
      </c>
      <c r="F745" s="37"/>
      <c r="G745" s="37"/>
      <c r="H745" s="37"/>
      <c r="I745" s="37"/>
      <c r="J745" s="38"/>
      <c r="K745" s="8"/>
      <c r="L745" s="9"/>
    </row>
    <row r="746" spans="1:14" ht="19.5" thickTop="1">
      <c r="J746" s="43"/>
    </row>
    <row r="747" spans="1:14">
      <c r="B747" t="str">
        <f>HYPERLINK("#'テーブル設計'!B2","テーブル一覧")</f>
        <v>テーブル一覧</v>
      </c>
    </row>
    <row r="748" spans="1:14" ht="19.5" thickBot="1"/>
    <row r="749" spans="1:14" ht="19.5" thickTop="1">
      <c r="B749" s="19" t="s">
        <v>21</v>
      </c>
      <c r="C749" s="4"/>
      <c r="D749" s="5" t="s">
        <v>75</v>
      </c>
      <c r="E749" s="6"/>
      <c r="F749" t="s">
        <v>299</v>
      </c>
      <c r="M749" t="str">
        <f t="shared" ref="M749" si="6">+D749</f>
        <v>pipe_sizes</v>
      </c>
      <c r="N749">
        <v>747</v>
      </c>
    </row>
    <row r="750" spans="1:14" ht="19.5" thickBot="1">
      <c r="B750" s="17" t="s">
        <v>22</v>
      </c>
      <c r="C750" s="15"/>
      <c r="D750" s="21" t="s">
        <v>76</v>
      </c>
      <c r="E750" s="20"/>
    </row>
    <row r="751" spans="1:14" ht="19.5" thickTop="1"/>
    <row r="752" spans="1:14">
      <c r="B752" s="1" t="s">
        <v>23</v>
      </c>
      <c r="C752" s="14"/>
    </row>
    <row r="753" spans="2:4">
      <c r="C753" t="s">
        <v>201</v>
      </c>
    </row>
    <row r="757" spans="2:4">
      <c r="B757" s="1" t="s">
        <v>24</v>
      </c>
      <c r="C757" s="14"/>
    </row>
    <row r="758" spans="2:4">
      <c r="C758" t="s">
        <v>25</v>
      </c>
    </row>
    <row r="760" spans="2:4">
      <c r="B760" s="1" t="s">
        <v>26</v>
      </c>
      <c r="C760" s="14"/>
    </row>
    <row r="761" spans="2:4">
      <c r="C761" s="10"/>
    </row>
    <row r="766" spans="2:4">
      <c r="B766" s="1" t="s">
        <v>49</v>
      </c>
      <c r="C766" s="14"/>
    </row>
    <row r="767" spans="2:4">
      <c r="C767" s="24" t="s">
        <v>145</v>
      </c>
    </row>
    <row r="768" spans="2:4">
      <c r="D768" t="s">
        <v>199</v>
      </c>
    </row>
    <row r="769" spans="1:17">
      <c r="C769" t="s">
        <v>200</v>
      </c>
      <c r="D769" t="s">
        <v>200</v>
      </c>
    </row>
    <row r="776" spans="1:17" ht="19.5" thickBot="1"/>
    <row r="777" spans="1:17" ht="19.5" thickTop="1">
      <c r="B777" s="94" t="s">
        <v>2</v>
      </c>
      <c r="C777" s="95"/>
      <c r="D777" s="11" t="s">
        <v>3</v>
      </c>
      <c r="E777" s="13" t="s">
        <v>4</v>
      </c>
      <c r="F777" s="35" t="s">
        <v>5</v>
      </c>
      <c r="G777" s="35" t="s">
        <v>7</v>
      </c>
      <c r="H777" s="35" t="s">
        <v>27</v>
      </c>
      <c r="I777" s="35" t="s">
        <v>47</v>
      </c>
      <c r="J777" s="11" t="s">
        <v>14</v>
      </c>
      <c r="K777" s="11" t="s">
        <v>15</v>
      </c>
      <c r="L777" s="12" t="s">
        <v>17</v>
      </c>
      <c r="P777" s="29"/>
      <c r="Q777" s="28"/>
    </row>
    <row r="778" spans="1:17">
      <c r="A778">
        <v>1</v>
      </c>
      <c r="B778" s="16" t="s">
        <v>25</v>
      </c>
      <c r="C778" s="2"/>
      <c r="D778" s="3" t="s">
        <v>202</v>
      </c>
      <c r="E778" s="14" t="s">
        <v>29</v>
      </c>
      <c r="F778" s="3" t="s">
        <v>30</v>
      </c>
      <c r="G778" s="36"/>
      <c r="H778" s="36" t="s">
        <v>30</v>
      </c>
      <c r="I778" s="36" t="s">
        <v>30</v>
      </c>
      <c r="J778" s="36"/>
      <c r="K778" s="31"/>
      <c r="L778" s="40" t="s">
        <v>219</v>
      </c>
    </row>
    <row r="779" spans="1:17">
      <c r="A779">
        <v>2</v>
      </c>
      <c r="B779" s="16" t="s">
        <v>203</v>
      </c>
      <c r="C779" s="2"/>
      <c r="D779" s="3" t="s">
        <v>188</v>
      </c>
      <c r="E779" s="14" t="s">
        <v>29</v>
      </c>
      <c r="F779" s="3"/>
      <c r="G779" s="36" t="s">
        <v>30</v>
      </c>
      <c r="H779" s="36" t="s">
        <v>30</v>
      </c>
      <c r="I779" s="36"/>
      <c r="J779" s="36"/>
      <c r="K779" s="31" t="s">
        <v>386</v>
      </c>
      <c r="L779" s="7"/>
    </row>
    <row r="780" spans="1:17">
      <c r="A780">
        <v>3</v>
      </c>
      <c r="B780" s="16" t="s">
        <v>204</v>
      </c>
      <c r="C780" s="2"/>
      <c r="D780" s="3" t="s">
        <v>205</v>
      </c>
      <c r="E780" s="24" t="s">
        <v>29</v>
      </c>
      <c r="F780" s="3"/>
      <c r="G780" s="36"/>
      <c r="H780" s="36"/>
      <c r="I780" s="36"/>
      <c r="J780" s="36"/>
      <c r="K780" s="31"/>
      <c r="L780" s="7">
        <v>32</v>
      </c>
    </row>
    <row r="781" spans="1:17">
      <c r="A781">
        <v>4</v>
      </c>
      <c r="B781" s="16" t="s">
        <v>206</v>
      </c>
      <c r="C781" s="2"/>
      <c r="D781" s="3" t="s">
        <v>207</v>
      </c>
      <c r="E781" s="14" t="s">
        <v>31</v>
      </c>
      <c r="F781" s="3"/>
      <c r="G781" s="36"/>
      <c r="H781" s="36"/>
      <c r="I781" s="36"/>
      <c r="J781" s="36"/>
      <c r="K781" s="31"/>
      <c r="L781" s="75" t="s">
        <v>361</v>
      </c>
    </row>
    <row r="782" spans="1:17">
      <c r="A782">
        <v>5</v>
      </c>
      <c r="B782" s="16" t="s">
        <v>208</v>
      </c>
      <c r="C782" s="2"/>
      <c r="D782" s="3" t="s">
        <v>209</v>
      </c>
      <c r="E782" s="14" t="s">
        <v>31</v>
      </c>
      <c r="F782" s="3"/>
      <c r="G782" s="36"/>
      <c r="H782" s="36"/>
      <c r="I782" s="36"/>
      <c r="J782" s="36"/>
      <c r="K782" s="31"/>
      <c r="L782" s="40" t="s">
        <v>362</v>
      </c>
    </row>
    <row r="783" spans="1:17">
      <c r="A783">
        <v>6</v>
      </c>
      <c r="B783" s="16" t="s">
        <v>210</v>
      </c>
      <c r="C783" s="2"/>
      <c r="D783" s="3" t="s">
        <v>211</v>
      </c>
      <c r="E783" s="14" t="s">
        <v>212</v>
      </c>
      <c r="F783" s="3"/>
      <c r="G783" s="36"/>
      <c r="H783" s="36"/>
      <c r="I783" s="36"/>
      <c r="J783" s="36"/>
      <c r="K783" s="31"/>
      <c r="L783" s="7"/>
    </row>
    <row r="784" spans="1:17">
      <c r="A784">
        <v>7</v>
      </c>
      <c r="B784" s="16" t="s">
        <v>213</v>
      </c>
      <c r="C784" s="2"/>
      <c r="D784" s="3" t="s">
        <v>214</v>
      </c>
      <c r="E784" s="14" t="s">
        <v>212</v>
      </c>
      <c r="F784" s="3"/>
      <c r="G784" s="36"/>
      <c r="H784" s="36"/>
      <c r="I784" s="36"/>
      <c r="J784" s="36"/>
      <c r="K784" s="31"/>
      <c r="L784" s="7"/>
    </row>
    <row r="785" spans="1:14">
      <c r="A785">
        <v>8</v>
      </c>
      <c r="B785" s="16" t="s">
        <v>215</v>
      </c>
      <c r="C785" s="2"/>
      <c r="D785" s="3" t="s">
        <v>216</v>
      </c>
      <c r="E785" s="14" t="s">
        <v>212</v>
      </c>
      <c r="F785" s="3"/>
      <c r="G785" s="36"/>
      <c r="H785" s="36"/>
      <c r="I785" s="36"/>
      <c r="J785" s="36"/>
      <c r="K785" s="31"/>
      <c r="L785" s="7"/>
    </row>
    <row r="786" spans="1:14">
      <c r="A786">
        <v>9</v>
      </c>
      <c r="B786" s="16" t="s">
        <v>217</v>
      </c>
      <c r="C786" s="2"/>
      <c r="D786" s="3" t="s">
        <v>218</v>
      </c>
      <c r="E786" s="14" t="s">
        <v>31</v>
      </c>
      <c r="F786" s="3"/>
      <c r="G786" s="36"/>
      <c r="H786" s="36"/>
      <c r="I786" s="36"/>
      <c r="J786" s="36"/>
      <c r="K786" s="31"/>
      <c r="L786" s="7"/>
    </row>
    <row r="787" spans="1:14">
      <c r="A787">
        <v>10</v>
      </c>
      <c r="B787" s="16" t="s">
        <v>40</v>
      </c>
      <c r="C787" s="2"/>
      <c r="D787" s="3" t="s">
        <v>61</v>
      </c>
      <c r="E787" s="14" t="s">
        <v>33</v>
      </c>
      <c r="F787" s="3"/>
      <c r="G787" s="36"/>
      <c r="H787" s="36"/>
      <c r="I787" s="36"/>
      <c r="J787" s="36"/>
      <c r="K787" s="31"/>
      <c r="L787" s="7"/>
    </row>
    <row r="788" spans="1:14">
      <c r="A788">
        <v>11</v>
      </c>
      <c r="B788" s="16" t="s">
        <v>41</v>
      </c>
      <c r="C788" s="2"/>
      <c r="D788" s="3" t="s">
        <v>62</v>
      </c>
      <c r="E788" s="14" t="s">
        <v>33</v>
      </c>
      <c r="F788" s="36"/>
      <c r="G788" s="36"/>
      <c r="H788" s="36"/>
      <c r="I788" s="36"/>
      <c r="J788" s="30"/>
      <c r="K788" s="3"/>
      <c r="L788" s="7"/>
    </row>
    <row r="789" spans="1:14" ht="19.5" thickBot="1">
      <c r="A789">
        <v>12</v>
      </c>
      <c r="B789" s="17" t="s">
        <v>45</v>
      </c>
      <c r="C789" s="18"/>
      <c r="D789" s="8" t="s">
        <v>17</v>
      </c>
      <c r="E789" s="15" t="s">
        <v>31</v>
      </c>
      <c r="F789" s="37"/>
      <c r="G789" s="37"/>
      <c r="H789" s="37"/>
      <c r="I789" s="37"/>
      <c r="J789" s="38"/>
      <c r="K789" s="8"/>
      <c r="L789" s="9"/>
    </row>
    <row r="790" spans="1:14" ht="19.5" thickTop="1">
      <c r="J790" s="43"/>
    </row>
    <row r="791" spans="1:14">
      <c r="B791" t="str">
        <f>HYPERLINK("#'テーブル設計'!B2","テーブル一覧")</f>
        <v>テーブル一覧</v>
      </c>
    </row>
    <row r="792" spans="1:14" ht="19.5" thickBot="1"/>
    <row r="793" spans="1:14" ht="19.5" thickTop="1">
      <c r="B793" s="19" t="s">
        <v>21</v>
      </c>
      <c r="C793" s="4"/>
      <c r="D793" s="5" t="s">
        <v>77</v>
      </c>
      <c r="E793" s="6"/>
      <c r="F793" t="s">
        <v>300</v>
      </c>
      <c r="M793" t="str">
        <f t="shared" ref="M793:M904" si="7">+D793</f>
        <v>insulation_types</v>
      </c>
      <c r="N793">
        <v>791</v>
      </c>
    </row>
    <row r="794" spans="1:14" ht="19.5" thickBot="1">
      <c r="B794" s="17" t="s">
        <v>22</v>
      </c>
      <c r="C794" s="15"/>
      <c r="D794" s="21" t="s">
        <v>78</v>
      </c>
      <c r="E794" s="20"/>
    </row>
    <row r="795" spans="1:14" ht="19.5" thickTop="1"/>
    <row r="796" spans="1:14">
      <c r="B796" s="1" t="s">
        <v>23</v>
      </c>
      <c r="C796" s="14"/>
    </row>
    <row r="801" spans="2:3">
      <c r="B801" s="1" t="s">
        <v>24</v>
      </c>
      <c r="C801" s="14"/>
    </row>
    <row r="802" spans="2:3">
      <c r="C802" t="s">
        <v>25</v>
      </c>
    </row>
    <row r="804" spans="2:3">
      <c r="B804" s="1" t="s">
        <v>26</v>
      </c>
      <c r="C804" s="14"/>
    </row>
    <row r="805" spans="2:3">
      <c r="C805" s="10"/>
    </row>
    <row r="810" spans="2:3">
      <c r="B810" s="1" t="s">
        <v>49</v>
      </c>
      <c r="C810" s="14"/>
    </row>
    <row r="811" spans="2:3">
      <c r="C811" s="24" t="s">
        <v>65</v>
      </c>
    </row>
    <row r="819" spans="1:17" ht="19.5" thickBot="1"/>
    <row r="820" spans="1:17" ht="19.5" thickTop="1">
      <c r="B820" s="94" t="s">
        <v>2</v>
      </c>
      <c r="C820" s="95"/>
      <c r="D820" s="11" t="s">
        <v>3</v>
      </c>
      <c r="E820" s="13" t="s">
        <v>4</v>
      </c>
      <c r="F820" s="35" t="s">
        <v>5</v>
      </c>
      <c r="G820" s="35" t="s">
        <v>7</v>
      </c>
      <c r="H820" s="35" t="s">
        <v>27</v>
      </c>
      <c r="I820" s="35" t="s">
        <v>47</v>
      </c>
      <c r="J820" s="11" t="s">
        <v>14</v>
      </c>
      <c r="K820" s="11" t="s">
        <v>15</v>
      </c>
      <c r="L820" s="12" t="s">
        <v>17</v>
      </c>
      <c r="P820" s="29"/>
      <c r="Q820" s="28"/>
    </row>
    <row r="821" spans="1:17">
      <c r="A821">
        <v>1</v>
      </c>
      <c r="B821" s="16" t="s">
        <v>25</v>
      </c>
      <c r="C821" s="2"/>
      <c r="D821" s="3" t="s">
        <v>220</v>
      </c>
      <c r="E821" s="14" t="s">
        <v>29</v>
      </c>
      <c r="F821" s="3" t="s">
        <v>30</v>
      </c>
      <c r="G821" s="36"/>
      <c r="H821" s="36" t="s">
        <v>30</v>
      </c>
      <c r="I821" s="36" t="s">
        <v>30</v>
      </c>
      <c r="J821" s="36"/>
      <c r="K821" s="31"/>
      <c r="L821" s="7" t="s">
        <v>219</v>
      </c>
    </row>
    <row r="822" spans="1:17">
      <c r="A822">
        <v>2</v>
      </c>
      <c r="B822" s="16" t="s">
        <v>86</v>
      </c>
      <c r="C822" s="2"/>
      <c r="D822" s="3" t="s">
        <v>221</v>
      </c>
      <c r="E822" s="14" t="s">
        <v>31</v>
      </c>
      <c r="F822" s="3"/>
      <c r="G822" s="36"/>
      <c r="H822" s="36" t="s">
        <v>30</v>
      </c>
      <c r="I822" s="36" t="s">
        <v>30</v>
      </c>
      <c r="J822" s="36"/>
      <c r="K822" s="31"/>
      <c r="L822" s="7"/>
    </row>
    <row r="823" spans="1:17">
      <c r="A823">
        <v>3</v>
      </c>
      <c r="B823" s="16" t="s">
        <v>32</v>
      </c>
      <c r="C823" s="2"/>
      <c r="D823" s="3" t="s">
        <v>222</v>
      </c>
      <c r="E823" s="14" t="s">
        <v>31</v>
      </c>
      <c r="F823" s="3"/>
      <c r="G823" s="36"/>
      <c r="H823" s="36"/>
      <c r="I823" s="36"/>
      <c r="J823" s="36"/>
      <c r="K823" s="31"/>
      <c r="L823" s="7"/>
    </row>
    <row r="824" spans="1:17">
      <c r="A824">
        <v>4</v>
      </c>
      <c r="B824" s="16" t="s">
        <v>223</v>
      </c>
      <c r="C824" s="2"/>
      <c r="D824" s="3" t="s">
        <v>224</v>
      </c>
      <c r="E824" s="14" t="s">
        <v>31</v>
      </c>
      <c r="F824" s="3"/>
      <c r="G824" s="36"/>
      <c r="H824" s="36"/>
      <c r="I824" s="36"/>
      <c r="J824" s="36"/>
      <c r="K824" s="31"/>
      <c r="L824" s="7"/>
    </row>
    <row r="825" spans="1:17">
      <c r="A825">
        <v>5</v>
      </c>
      <c r="B825" s="16" t="s">
        <v>225</v>
      </c>
      <c r="C825" s="2"/>
      <c r="D825" s="3" t="s">
        <v>226</v>
      </c>
      <c r="E825" s="14" t="s">
        <v>31</v>
      </c>
      <c r="F825" s="3"/>
      <c r="G825" s="36"/>
      <c r="H825" s="36"/>
      <c r="I825" s="36"/>
      <c r="J825" s="36"/>
      <c r="K825" s="31"/>
      <c r="L825" s="7"/>
    </row>
    <row r="826" spans="1:17">
      <c r="A826">
        <v>6</v>
      </c>
      <c r="B826" s="16" t="s">
        <v>89</v>
      </c>
      <c r="C826" s="2"/>
      <c r="D826" s="3" t="s">
        <v>152</v>
      </c>
      <c r="E826" s="14" t="s">
        <v>31</v>
      </c>
      <c r="F826" s="36"/>
      <c r="G826" s="36"/>
      <c r="H826" s="36"/>
      <c r="I826" s="36"/>
      <c r="J826" s="30"/>
      <c r="K826" s="3"/>
      <c r="L826" s="7"/>
    </row>
    <row r="827" spans="1:17" ht="19.5" thickBot="1">
      <c r="A827">
        <v>7</v>
      </c>
      <c r="B827" s="17" t="s">
        <v>57</v>
      </c>
      <c r="C827" s="18"/>
      <c r="D827" s="8" t="s">
        <v>56</v>
      </c>
      <c r="E827" s="15" t="s">
        <v>42</v>
      </c>
      <c r="F827" s="37"/>
      <c r="G827" s="37"/>
      <c r="H827" s="82" t="s">
        <v>426</v>
      </c>
      <c r="I827" s="37"/>
      <c r="J827" s="38" t="b">
        <v>1</v>
      </c>
      <c r="K827" s="8"/>
      <c r="L827" s="9"/>
    </row>
    <row r="828" spans="1:17" ht="19.5" thickTop="1">
      <c r="J828" s="43"/>
    </row>
    <row r="829" spans="1:17">
      <c r="B829" t="str">
        <f>HYPERLINK("#'テーブル設計'!B2","テーブル一覧")</f>
        <v>テーブル一覧</v>
      </c>
    </row>
    <row r="830" spans="1:17" ht="19.5" thickBot="1"/>
    <row r="831" spans="1:17" ht="19.5" thickTop="1">
      <c r="B831" s="19" t="s">
        <v>21</v>
      </c>
      <c r="C831" s="4"/>
      <c r="D831" s="5" t="s">
        <v>79</v>
      </c>
      <c r="E831" s="6"/>
      <c r="F831" t="s">
        <v>301</v>
      </c>
      <c r="M831" t="str">
        <f t="shared" ref="M831" si="8">+D831</f>
        <v>painting_types</v>
      </c>
      <c r="N831">
        <v>829</v>
      </c>
    </row>
    <row r="832" spans="1:17" ht="19.5" thickBot="1">
      <c r="B832" s="17" t="s">
        <v>22</v>
      </c>
      <c r="C832" s="15"/>
      <c r="D832" s="21" t="s">
        <v>80</v>
      </c>
      <c r="E832" s="20"/>
    </row>
    <row r="833" spans="2:3" ht="19.5" thickTop="1"/>
    <row r="834" spans="2:3">
      <c r="B834" s="1" t="s">
        <v>23</v>
      </c>
      <c r="C834" s="14"/>
    </row>
    <row r="839" spans="2:3">
      <c r="B839" s="1" t="s">
        <v>24</v>
      </c>
      <c r="C839" s="14"/>
    </row>
    <row r="840" spans="2:3">
      <c r="C840" t="s">
        <v>25</v>
      </c>
    </row>
    <row r="842" spans="2:3">
      <c r="B842" s="1" t="s">
        <v>26</v>
      </c>
      <c r="C842" s="14"/>
    </row>
    <row r="843" spans="2:3">
      <c r="C843" s="10"/>
    </row>
    <row r="848" spans="2:3">
      <c r="B848" s="1" t="s">
        <v>49</v>
      </c>
      <c r="C848" s="14"/>
    </row>
    <row r="849" spans="1:17">
      <c r="C849" s="24" t="s">
        <v>65</v>
      </c>
    </row>
    <row r="857" spans="1:17" ht="19.5" thickBot="1"/>
    <row r="858" spans="1:17" ht="19.5" thickTop="1">
      <c r="B858" s="94" t="s">
        <v>2</v>
      </c>
      <c r="C858" s="95"/>
      <c r="D858" s="11" t="s">
        <v>3</v>
      </c>
      <c r="E858" s="13" t="s">
        <v>4</v>
      </c>
      <c r="F858" s="35" t="s">
        <v>5</v>
      </c>
      <c r="G858" s="35" t="s">
        <v>7</v>
      </c>
      <c r="H858" s="35" t="s">
        <v>27</v>
      </c>
      <c r="I858" s="35" t="s">
        <v>47</v>
      </c>
      <c r="J858" s="11" t="s">
        <v>14</v>
      </c>
      <c r="K858" s="11" t="s">
        <v>15</v>
      </c>
      <c r="L858" s="12" t="s">
        <v>17</v>
      </c>
      <c r="P858" s="29"/>
      <c r="Q858" s="28"/>
    </row>
    <row r="859" spans="1:17">
      <c r="A859">
        <v>1</v>
      </c>
      <c r="B859" s="16" t="s">
        <v>25</v>
      </c>
      <c r="C859" s="2"/>
      <c r="D859" s="3" t="s">
        <v>243</v>
      </c>
      <c r="E859" s="14" t="s">
        <v>29</v>
      </c>
      <c r="F859" s="3" t="s">
        <v>30</v>
      </c>
      <c r="G859" s="36"/>
      <c r="H859" s="36" t="s">
        <v>30</v>
      </c>
      <c r="I859" s="36" t="s">
        <v>30</v>
      </c>
      <c r="J859" s="36"/>
      <c r="K859" s="31"/>
      <c r="L859" s="7" t="s">
        <v>219</v>
      </c>
    </row>
    <row r="860" spans="1:17">
      <c r="A860">
        <v>2</v>
      </c>
      <c r="B860" s="16" t="s">
        <v>86</v>
      </c>
      <c r="C860" s="2"/>
      <c r="D860" s="3" t="s">
        <v>244</v>
      </c>
      <c r="E860" s="14" t="s">
        <v>31</v>
      </c>
      <c r="F860" s="3"/>
      <c r="G860" s="36"/>
      <c r="H860" s="36" t="s">
        <v>30</v>
      </c>
      <c r="I860" s="36" t="s">
        <v>30</v>
      </c>
      <c r="J860" s="36"/>
      <c r="K860" s="31"/>
      <c r="L860" s="7"/>
    </row>
    <row r="861" spans="1:17">
      <c r="A861">
        <v>3</v>
      </c>
      <c r="B861" s="16" t="s">
        <v>32</v>
      </c>
      <c r="C861" s="2"/>
      <c r="D861" s="3" t="s">
        <v>245</v>
      </c>
      <c r="E861" s="14" t="s">
        <v>31</v>
      </c>
      <c r="F861" s="3"/>
      <c r="G861" s="36"/>
      <c r="H861" s="36"/>
      <c r="I861" s="36"/>
      <c r="J861" s="36"/>
      <c r="K861" s="31"/>
      <c r="L861" s="7"/>
    </row>
    <row r="862" spans="1:17">
      <c r="A862">
        <v>4</v>
      </c>
      <c r="B862" s="16" t="s">
        <v>246</v>
      </c>
      <c r="C862" s="2"/>
      <c r="D862" s="3" t="s">
        <v>247</v>
      </c>
      <c r="E862" s="14" t="s">
        <v>31</v>
      </c>
      <c r="F862" s="3"/>
      <c r="G862" s="36"/>
      <c r="H862" s="36"/>
      <c r="I862" s="36"/>
      <c r="J862" s="36"/>
      <c r="K862" s="31"/>
      <c r="L862" s="7"/>
    </row>
    <row r="863" spans="1:17">
      <c r="A863">
        <v>5</v>
      </c>
      <c r="B863" s="16" t="s">
        <v>248</v>
      </c>
      <c r="C863" s="2"/>
      <c r="D863" s="3" t="s">
        <v>249</v>
      </c>
      <c r="E863" s="14" t="s">
        <v>29</v>
      </c>
      <c r="F863" s="3"/>
      <c r="G863" s="36"/>
      <c r="H863" s="36"/>
      <c r="I863" s="36"/>
      <c r="J863" s="36"/>
      <c r="K863" s="31"/>
      <c r="L863" s="7"/>
    </row>
    <row r="864" spans="1:17">
      <c r="A864">
        <v>6</v>
      </c>
      <c r="B864" s="16" t="s">
        <v>89</v>
      </c>
      <c r="C864" s="2"/>
      <c r="D864" s="3" t="s">
        <v>152</v>
      </c>
      <c r="E864" s="14" t="s">
        <v>31</v>
      </c>
      <c r="F864" s="36"/>
      <c r="G864" s="36"/>
      <c r="H864" s="36"/>
      <c r="I864" s="36"/>
      <c r="J864" s="30"/>
      <c r="K864" s="3"/>
      <c r="L864" s="7"/>
    </row>
    <row r="865" spans="1:14" ht="19.5" thickBot="1">
      <c r="A865">
        <v>7</v>
      </c>
      <c r="B865" s="17" t="s">
        <v>57</v>
      </c>
      <c r="C865" s="18"/>
      <c r="D865" s="8" t="s">
        <v>56</v>
      </c>
      <c r="E865" s="15" t="s">
        <v>42</v>
      </c>
      <c r="F865" s="37"/>
      <c r="G865" s="37"/>
      <c r="H865" s="82" t="s">
        <v>426</v>
      </c>
      <c r="I865" s="37"/>
      <c r="J865" s="38" t="b">
        <v>1</v>
      </c>
      <c r="K865" s="8"/>
      <c r="L865" s="9"/>
    </row>
    <row r="866" spans="1:14" ht="19.5" thickTop="1">
      <c r="J866" s="43"/>
    </row>
    <row r="867" spans="1:14">
      <c r="B867" t="str">
        <f>HYPERLINK("#'テーブル設計'!B2","テーブル一覧")</f>
        <v>テーブル一覧</v>
      </c>
    </row>
    <row r="868" spans="1:14" ht="19.5" thickBot="1"/>
    <row r="869" spans="1:14" ht="18" customHeight="1" thickTop="1">
      <c r="B869" s="19" t="s">
        <v>21</v>
      </c>
      <c r="C869" s="4"/>
      <c r="D869" s="5" t="s">
        <v>83</v>
      </c>
      <c r="E869" s="6"/>
      <c r="F869" t="s">
        <v>302</v>
      </c>
      <c r="M869" t="str">
        <f>+D869</f>
        <v>worker_types</v>
      </c>
      <c r="N869">
        <v>867</v>
      </c>
    </row>
    <row r="870" spans="1:14" ht="18" customHeight="1" thickBot="1">
      <c r="B870" s="17" t="s">
        <v>22</v>
      </c>
      <c r="C870" s="15"/>
      <c r="D870" s="76" t="s">
        <v>364</v>
      </c>
      <c r="E870" s="20"/>
    </row>
    <row r="871" spans="1:14" ht="18" customHeight="1" thickTop="1"/>
    <row r="872" spans="1:14" ht="18" customHeight="1">
      <c r="B872" s="1" t="s">
        <v>23</v>
      </c>
      <c r="C872" s="14"/>
    </row>
    <row r="873" spans="1:14" ht="18" customHeight="1"/>
    <row r="874" spans="1:14" ht="18" customHeight="1"/>
    <row r="875" spans="1:14" ht="18" customHeight="1"/>
    <row r="876" spans="1:14" ht="18" customHeight="1"/>
    <row r="877" spans="1:14" ht="18" customHeight="1">
      <c r="B877" s="1" t="s">
        <v>24</v>
      </c>
      <c r="C877" s="14"/>
    </row>
    <row r="878" spans="1:14" ht="18" customHeight="1">
      <c r="C878" t="s">
        <v>25</v>
      </c>
    </row>
    <row r="879" spans="1:14" ht="18" customHeight="1"/>
    <row r="880" spans="1:14" ht="18" customHeight="1">
      <c r="B880" s="1" t="s">
        <v>26</v>
      </c>
      <c r="C880" s="14"/>
    </row>
    <row r="881" spans="2:17" ht="18" customHeight="1">
      <c r="C881" s="10"/>
    </row>
    <row r="882" spans="2:17" ht="18" customHeight="1"/>
    <row r="883" spans="2:17" ht="18" customHeight="1"/>
    <row r="884" spans="2:17" ht="18" customHeight="1"/>
    <row r="885" spans="2:17" ht="18" customHeight="1"/>
    <row r="886" spans="2:17" ht="18" customHeight="1">
      <c r="B886" s="1" t="s">
        <v>49</v>
      </c>
      <c r="C886" s="14"/>
    </row>
    <row r="887" spans="2:17" ht="18" customHeight="1">
      <c r="C887" s="24" t="s">
        <v>252</v>
      </c>
    </row>
    <row r="888" spans="2:17" ht="18" customHeight="1"/>
    <row r="889" spans="2:17" ht="18" customHeight="1"/>
    <row r="890" spans="2:17" ht="18" customHeight="1"/>
    <row r="891" spans="2:17" ht="18" customHeight="1"/>
    <row r="892" spans="2:17" ht="18" customHeight="1"/>
    <row r="893" spans="2:17" ht="18" customHeight="1"/>
    <row r="894" spans="2:17" ht="18" customHeight="1"/>
    <row r="895" spans="2:17" ht="18" customHeight="1" thickBot="1"/>
    <row r="896" spans="2:17" ht="18" customHeight="1" thickTop="1">
      <c r="B896" s="94" t="s">
        <v>2</v>
      </c>
      <c r="C896" s="95"/>
      <c r="D896" s="11" t="s">
        <v>3</v>
      </c>
      <c r="E896" s="13" t="s">
        <v>4</v>
      </c>
      <c r="F896" s="35" t="s">
        <v>5</v>
      </c>
      <c r="G896" s="35" t="s">
        <v>7</v>
      </c>
      <c r="H896" s="35" t="s">
        <v>27</v>
      </c>
      <c r="I896" s="35" t="s">
        <v>47</v>
      </c>
      <c r="J896" s="11" t="s">
        <v>14</v>
      </c>
      <c r="K896" s="11" t="s">
        <v>15</v>
      </c>
      <c r="L896" s="12" t="s">
        <v>17</v>
      </c>
      <c r="P896" s="29"/>
      <c r="Q896" s="28"/>
    </row>
    <row r="897" spans="1:14" ht="18" customHeight="1">
      <c r="A897">
        <v>1</v>
      </c>
      <c r="B897" s="16" t="s">
        <v>25</v>
      </c>
      <c r="C897" s="2"/>
      <c r="D897" s="3" t="s">
        <v>253</v>
      </c>
      <c r="E897" s="14" t="s">
        <v>29</v>
      </c>
      <c r="F897" s="3" t="s">
        <v>30</v>
      </c>
      <c r="G897" s="36"/>
      <c r="H897" s="36" t="s">
        <v>30</v>
      </c>
      <c r="I897" s="36" t="s">
        <v>30</v>
      </c>
      <c r="J897" s="36"/>
      <c r="K897" s="31"/>
      <c r="L897" s="7" t="s">
        <v>219</v>
      </c>
    </row>
    <row r="898" spans="1:14" ht="18" customHeight="1">
      <c r="A898">
        <v>2</v>
      </c>
      <c r="B898" s="16" t="s">
        <v>86</v>
      </c>
      <c r="C898" s="2"/>
      <c r="D898" s="3" t="s">
        <v>254</v>
      </c>
      <c r="E898" s="14" t="s">
        <v>31</v>
      </c>
      <c r="F898" s="3"/>
      <c r="G898" s="36"/>
      <c r="H898" s="36" t="s">
        <v>30</v>
      </c>
      <c r="I898" s="36" t="s">
        <v>30</v>
      </c>
      <c r="J898" s="36"/>
      <c r="K898" s="31"/>
      <c r="L898" s="7"/>
    </row>
    <row r="899" spans="1:14" ht="18" customHeight="1">
      <c r="A899">
        <v>3</v>
      </c>
      <c r="B899" s="16" t="s">
        <v>32</v>
      </c>
      <c r="C899" s="2"/>
      <c r="D899" s="3" t="s">
        <v>255</v>
      </c>
      <c r="E899" s="14" t="s">
        <v>31</v>
      </c>
      <c r="F899" s="36"/>
      <c r="G899" s="36"/>
      <c r="H899" s="36"/>
      <c r="I899" s="36"/>
      <c r="J899" s="30"/>
      <c r="K899" s="3"/>
      <c r="L899" s="7"/>
    </row>
    <row r="900" spans="1:14" ht="18" customHeight="1" thickBot="1">
      <c r="A900">
        <v>4</v>
      </c>
      <c r="B900" s="17" t="s">
        <v>89</v>
      </c>
      <c r="C900" s="18"/>
      <c r="D900" s="8" t="s">
        <v>152</v>
      </c>
      <c r="E900" s="15" t="s">
        <v>31</v>
      </c>
      <c r="F900" s="37"/>
      <c r="G900" s="37"/>
      <c r="H900" s="37"/>
      <c r="I900" s="37"/>
      <c r="J900" s="38"/>
      <c r="K900" s="8"/>
      <c r="L900" s="9"/>
    </row>
    <row r="901" spans="1:14" ht="18" customHeight="1" thickTop="1">
      <c r="J901" s="43"/>
    </row>
    <row r="902" spans="1:14" ht="18" customHeight="1">
      <c r="B902" t="str">
        <f>HYPERLINK("#'テーブル設計'!B2","テーブル一覧")</f>
        <v>テーブル一覧</v>
      </c>
    </row>
    <row r="903" spans="1:14" ht="18" customHeight="1" thickBot="1"/>
    <row r="904" spans="1:14" ht="19.5" thickTop="1">
      <c r="B904" s="19" t="s">
        <v>21</v>
      </c>
      <c r="C904" s="4"/>
      <c r="D904" s="5" t="s">
        <v>81</v>
      </c>
      <c r="E904" s="6"/>
      <c r="F904" t="s">
        <v>303</v>
      </c>
      <c r="M904" t="str">
        <f t="shared" si="7"/>
        <v>insulation_rules</v>
      </c>
      <c r="N904">
        <v>902</v>
      </c>
    </row>
    <row r="905" spans="1:14" ht="19.5" thickBot="1">
      <c r="B905" s="17" t="s">
        <v>22</v>
      </c>
      <c r="C905" s="15"/>
      <c r="D905" s="21" t="s">
        <v>304</v>
      </c>
      <c r="E905" s="20"/>
    </row>
    <row r="906" spans="1:14" ht="19.5" thickTop="1"/>
    <row r="907" spans="1:14">
      <c r="B907" s="1" t="s">
        <v>23</v>
      </c>
      <c r="C907" s="14"/>
    </row>
    <row r="908" spans="1:14">
      <c r="C908" t="s">
        <v>242</v>
      </c>
    </row>
    <row r="912" spans="1:14">
      <c r="B912" s="1" t="s">
        <v>24</v>
      </c>
      <c r="C912" s="14"/>
    </row>
    <row r="913" spans="2:3">
      <c r="C913" t="s">
        <v>25</v>
      </c>
    </row>
    <row r="915" spans="2:3">
      <c r="B915" s="1" t="s">
        <v>26</v>
      </c>
      <c r="C915" s="14"/>
    </row>
    <row r="916" spans="2:3">
      <c r="C916" s="10"/>
    </row>
    <row r="921" spans="2:3">
      <c r="B921" s="1" t="s">
        <v>49</v>
      </c>
      <c r="C921" s="14"/>
    </row>
    <row r="922" spans="2:3">
      <c r="C922" s="24" t="s">
        <v>65</v>
      </c>
    </row>
    <row r="930" spans="1:17" ht="19.5" thickBot="1"/>
    <row r="931" spans="1:17" ht="19.5" thickTop="1">
      <c r="B931" s="94" t="s">
        <v>2</v>
      </c>
      <c r="C931" s="95"/>
      <c r="D931" s="11" t="s">
        <v>3</v>
      </c>
      <c r="E931" s="13" t="s">
        <v>4</v>
      </c>
      <c r="F931" s="35" t="s">
        <v>5</v>
      </c>
      <c r="G931" s="35" t="s">
        <v>7</v>
      </c>
      <c r="H931" s="35" t="s">
        <v>27</v>
      </c>
      <c r="I931" s="35" t="s">
        <v>47</v>
      </c>
      <c r="J931" s="11" t="s">
        <v>14</v>
      </c>
      <c r="K931" s="11" t="s">
        <v>15</v>
      </c>
      <c r="L931" s="12" t="s">
        <v>17</v>
      </c>
      <c r="P931" s="29"/>
      <c r="Q931" s="28"/>
    </row>
    <row r="932" spans="1:17">
      <c r="A932">
        <v>1</v>
      </c>
      <c r="B932" s="16" t="s">
        <v>25</v>
      </c>
      <c r="C932" s="2"/>
      <c r="D932" s="3" t="s">
        <v>227</v>
      </c>
      <c r="E932" s="14" t="s">
        <v>29</v>
      </c>
      <c r="F932" s="3" t="s">
        <v>30</v>
      </c>
      <c r="G932" s="36"/>
      <c r="H932" s="36" t="s">
        <v>30</v>
      </c>
      <c r="I932" s="36" t="s">
        <v>30</v>
      </c>
      <c r="J932" s="36"/>
      <c r="K932" s="31"/>
      <c r="L932" s="7" t="s">
        <v>219</v>
      </c>
    </row>
    <row r="933" spans="1:17">
      <c r="A933">
        <v>2</v>
      </c>
      <c r="B933" s="16" t="s">
        <v>120</v>
      </c>
      <c r="C933" s="2"/>
      <c r="D933" s="3" t="s">
        <v>228</v>
      </c>
      <c r="E933" s="14" t="s">
        <v>29</v>
      </c>
      <c r="F933" s="3"/>
      <c r="G933" s="36" t="s">
        <v>30</v>
      </c>
      <c r="H933" s="36"/>
      <c r="I933" s="36"/>
      <c r="J933" s="36"/>
      <c r="K933" s="31" t="s">
        <v>385</v>
      </c>
      <c r="L933" s="7"/>
    </row>
    <row r="934" spans="1:17">
      <c r="A934">
        <v>3</v>
      </c>
      <c r="B934" s="16" t="s">
        <v>229</v>
      </c>
      <c r="C934" s="2"/>
      <c r="D934" s="3" t="s">
        <v>147</v>
      </c>
      <c r="E934" s="14" t="s">
        <v>29</v>
      </c>
      <c r="F934" s="3"/>
      <c r="G934" s="36" t="s">
        <v>30</v>
      </c>
      <c r="H934" s="36"/>
      <c r="I934" s="36"/>
      <c r="J934" s="36"/>
      <c r="K934" s="31" t="s">
        <v>379</v>
      </c>
      <c r="L934" s="7"/>
    </row>
    <row r="935" spans="1:17">
      <c r="A935">
        <v>4</v>
      </c>
      <c r="B935" s="16" t="s">
        <v>189</v>
      </c>
      <c r="C935" s="2"/>
      <c r="D935" s="3" t="s">
        <v>180</v>
      </c>
      <c r="E935" s="14" t="s">
        <v>29</v>
      </c>
      <c r="F935" s="3"/>
      <c r="G935" s="36" t="s">
        <v>30</v>
      </c>
      <c r="H935" s="36"/>
      <c r="I935" s="36"/>
      <c r="J935" s="36"/>
      <c r="K935" s="31" t="s">
        <v>381</v>
      </c>
      <c r="L935" s="7"/>
    </row>
    <row r="936" spans="1:17">
      <c r="A936">
        <v>5</v>
      </c>
      <c r="B936" s="16" t="s">
        <v>230</v>
      </c>
      <c r="C936" s="2"/>
      <c r="D936" s="3" t="s">
        <v>175</v>
      </c>
      <c r="E936" s="14" t="s">
        <v>29</v>
      </c>
      <c r="F936" s="3"/>
      <c r="G936" s="36" t="s">
        <v>30</v>
      </c>
      <c r="H936" s="36"/>
      <c r="I936" s="36"/>
      <c r="J936" s="36"/>
      <c r="K936" s="31" t="s">
        <v>383</v>
      </c>
      <c r="L936" s="7"/>
    </row>
    <row r="937" spans="1:17">
      <c r="A937">
        <v>6</v>
      </c>
      <c r="B937" s="16" t="s">
        <v>339</v>
      </c>
      <c r="C937" s="2"/>
      <c r="D937" s="3" t="s">
        <v>231</v>
      </c>
      <c r="E937" s="14" t="s">
        <v>29</v>
      </c>
      <c r="F937" s="3"/>
      <c r="G937" s="36"/>
      <c r="H937" s="36"/>
      <c r="I937" s="36"/>
      <c r="J937" s="36"/>
      <c r="K937" s="31"/>
      <c r="L937" s="7"/>
    </row>
    <row r="938" spans="1:17">
      <c r="A938">
        <v>7</v>
      </c>
      <c r="B938" s="16" t="s">
        <v>340</v>
      </c>
      <c r="C938" s="2"/>
      <c r="D938" s="3" t="s">
        <v>232</v>
      </c>
      <c r="E938" s="14" t="s">
        <v>29</v>
      </c>
      <c r="F938" s="3"/>
      <c r="G938" s="36"/>
      <c r="H938" s="36"/>
      <c r="I938" s="36"/>
      <c r="J938" s="36"/>
      <c r="K938" s="31"/>
      <c r="L938" s="7"/>
    </row>
    <row r="939" spans="1:17">
      <c r="A939">
        <v>8</v>
      </c>
      <c r="B939" s="16" t="s">
        <v>233</v>
      </c>
      <c r="C939" s="2"/>
      <c r="D939" s="3" t="s">
        <v>220</v>
      </c>
      <c r="E939" s="14" t="s">
        <v>29</v>
      </c>
      <c r="F939" s="3"/>
      <c r="G939" s="36" t="s">
        <v>30</v>
      </c>
      <c r="H939" s="36"/>
      <c r="I939" s="36"/>
      <c r="J939" s="36"/>
      <c r="K939" s="31" t="s">
        <v>387</v>
      </c>
      <c r="L939" s="7"/>
    </row>
    <row r="940" spans="1:17">
      <c r="A940">
        <v>9</v>
      </c>
      <c r="B940" s="16" t="s">
        <v>234</v>
      </c>
      <c r="C940" s="2"/>
      <c r="D940" s="3" t="s">
        <v>235</v>
      </c>
      <c r="E940" s="14" t="s">
        <v>212</v>
      </c>
      <c r="F940" s="3"/>
      <c r="G940" s="36"/>
      <c r="H940" s="36"/>
      <c r="I940" s="36"/>
      <c r="J940" s="36"/>
      <c r="K940" s="31"/>
      <c r="L940" s="7"/>
    </row>
    <row r="941" spans="1:17">
      <c r="A941">
        <v>10</v>
      </c>
      <c r="B941" s="16" t="s">
        <v>236</v>
      </c>
      <c r="C941" s="2"/>
      <c r="D941" s="3" t="s">
        <v>237</v>
      </c>
      <c r="E941" s="14" t="s">
        <v>31</v>
      </c>
      <c r="F941" s="3"/>
      <c r="G941" s="36"/>
      <c r="H941" s="36"/>
      <c r="I941" s="36"/>
      <c r="J941" s="36"/>
      <c r="K941" s="31"/>
      <c r="L941" s="7"/>
    </row>
    <row r="942" spans="1:17">
      <c r="A942">
        <v>11</v>
      </c>
      <c r="B942" s="16" t="s">
        <v>40</v>
      </c>
      <c r="C942" s="2"/>
      <c r="D942" s="3" t="s">
        <v>61</v>
      </c>
      <c r="E942" s="14" t="s">
        <v>33</v>
      </c>
      <c r="F942" s="3"/>
      <c r="G942" s="36"/>
      <c r="H942" s="36"/>
      <c r="I942" s="36"/>
      <c r="J942" s="36"/>
      <c r="K942" s="31"/>
      <c r="L942" s="7"/>
    </row>
    <row r="943" spans="1:17">
      <c r="A943">
        <v>12</v>
      </c>
      <c r="B943" s="16" t="s">
        <v>41</v>
      </c>
      <c r="C943" s="2"/>
      <c r="D943" s="3" t="s">
        <v>62</v>
      </c>
      <c r="E943" s="14" t="s">
        <v>33</v>
      </c>
      <c r="F943" s="3"/>
      <c r="G943" s="36"/>
      <c r="H943" s="36"/>
      <c r="I943" s="36"/>
      <c r="J943" s="36"/>
      <c r="K943" s="31"/>
      <c r="L943" s="7"/>
    </row>
    <row r="944" spans="1:17">
      <c r="A944">
        <v>13</v>
      </c>
      <c r="B944" s="16" t="s">
        <v>238</v>
      </c>
      <c r="C944" s="2"/>
      <c r="D944" s="3" t="s">
        <v>239</v>
      </c>
      <c r="E944" s="14" t="s">
        <v>31</v>
      </c>
      <c r="F944" s="3"/>
      <c r="G944" s="36"/>
      <c r="H944" s="36"/>
      <c r="I944" s="36"/>
      <c r="J944" s="36"/>
      <c r="K944" s="31"/>
      <c r="L944" s="7"/>
    </row>
    <row r="945" spans="1:14">
      <c r="A945">
        <v>14</v>
      </c>
      <c r="B945" s="16" t="s">
        <v>240</v>
      </c>
      <c r="C945" s="2"/>
      <c r="D945" s="3" t="s">
        <v>241</v>
      </c>
      <c r="E945" s="14" t="s">
        <v>31</v>
      </c>
      <c r="F945" s="36"/>
      <c r="G945" s="36"/>
      <c r="H945" s="36"/>
      <c r="I945" s="36"/>
      <c r="J945" s="30"/>
      <c r="K945" s="3"/>
      <c r="L945" s="7"/>
    </row>
    <row r="946" spans="1:14" ht="19.5" thickBot="1">
      <c r="A946">
        <v>15</v>
      </c>
      <c r="B946" s="17" t="s">
        <v>128</v>
      </c>
      <c r="C946" s="18"/>
      <c r="D946" s="8" t="s">
        <v>17</v>
      </c>
      <c r="E946" s="15" t="s">
        <v>31</v>
      </c>
      <c r="F946" s="37"/>
      <c r="G946" s="37"/>
      <c r="H946" s="37"/>
      <c r="I946" s="37"/>
      <c r="J946" s="38"/>
      <c r="K946" s="8"/>
      <c r="L946" s="9"/>
    </row>
    <row r="947" spans="1:14" ht="19.5" thickTop="1">
      <c r="J947" s="43"/>
    </row>
    <row r="948" spans="1:14">
      <c r="B948" t="str">
        <f>HYPERLINK("#'テーブル設計'!B2","テーブル一覧")</f>
        <v>テーブル一覧</v>
      </c>
    </row>
    <row r="949" spans="1:14" ht="19.5" thickBot="1"/>
    <row r="950" spans="1:14" ht="19.5" thickTop="1">
      <c r="B950" s="19" t="s">
        <v>21</v>
      </c>
      <c r="C950" s="4"/>
      <c r="D950" s="5" t="s">
        <v>82</v>
      </c>
      <c r="E950" s="6"/>
      <c r="F950" t="s">
        <v>305</v>
      </c>
      <c r="M950" t="str">
        <f t="shared" ref="M950" si="9">+D950</f>
        <v>painting_rules</v>
      </c>
      <c r="N950">
        <v>948</v>
      </c>
    </row>
    <row r="951" spans="1:14" ht="19.5" thickBot="1">
      <c r="B951" s="17" t="s">
        <v>22</v>
      </c>
      <c r="C951" s="15"/>
      <c r="D951" s="21" t="s">
        <v>306</v>
      </c>
      <c r="E951" s="20"/>
    </row>
    <row r="952" spans="1:14" ht="19.5" thickTop="1"/>
    <row r="953" spans="1:14">
      <c r="B953" s="1" t="s">
        <v>23</v>
      </c>
      <c r="C953" s="14"/>
    </row>
    <row r="958" spans="1:14">
      <c r="B958" s="1" t="s">
        <v>24</v>
      </c>
      <c r="C958" s="14"/>
    </row>
    <row r="959" spans="1:14">
      <c r="C959" t="s">
        <v>25</v>
      </c>
    </row>
    <row r="961" spans="2:3">
      <c r="B961" s="1" t="s">
        <v>26</v>
      </c>
      <c r="C961" s="14"/>
    </row>
    <row r="962" spans="2:3">
      <c r="C962" s="10"/>
    </row>
    <row r="967" spans="2:3">
      <c r="B967" s="1" t="s">
        <v>49</v>
      </c>
      <c r="C967" s="14"/>
    </row>
    <row r="968" spans="2:3">
      <c r="C968" s="24" t="s">
        <v>65</v>
      </c>
    </row>
    <row r="976" spans="2:3" ht="19.5" thickBot="1"/>
    <row r="977" spans="1:17" ht="19.5" thickTop="1">
      <c r="B977" s="94" t="s">
        <v>2</v>
      </c>
      <c r="C977" s="95"/>
      <c r="D977" s="11" t="s">
        <v>3</v>
      </c>
      <c r="E977" s="13" t="s">
        <v>4</v>
      </c>
      <c r="F977" s="35" t="s">
        <v>5</v>
      </c>
      <c r="G977" s="35" t="s">
        <v>7</v>
      </c>
      <c r="H977" s="35" t="s">
        <v>27</v>
      </c>
      <c r="I977" s="35" t="s">
        <v>47</v>
      </c>
      <c r="J977" s="11" t="s">
        <v>14</v>
      </c>
      <c r="K977" s="11" t="s">
        <v>15</v>
      </c>
      <c r="L977" s="12" t="s">
        <v>17</v>
      </c>
      <c r="P977" s="29"/>
      <c r="Q977" s="28"/>
    </row>
    <row r="978" spans="1:17">
      <c r="A978">
        <v>1</v>
      </c>
      <c r="B978" s="16" t="s">
        <v>25</v>
      </c>
      <c r="C978" s="2"/>
      <c r="D978" s="3" t="s">
        <v>250</v>
      </c>
      <c r="E978" s="14" t="s">
        <v>29</v>
      </c>
      <c r="F978" s="3" t="s">
        <v>30</v>
      </c>
      <c r="G978" s="36"/>
      <c r="H978" s="36" t="s">
        <v>30</v>
      </c>
      <c r="I978" s="36" t="s">
        <v>30</v>
      </c>
      <c r="J978" s="36"/>
      <c r="K978" s="31"/>
      <c r="L978" s="7" t="s">
        <v>219</v>
      </c>
    </row>
    <row r="979" spans="1:17">
      <c r="A979">
        <v>2</v>
      </c>
      <c r="B979" s="16" t="s">
        <v>120</v>
      </c>
      <c r="C979" s="2"/>
      <c r="D979" s="3" t="s">
        <v>228</v>
      </c>
      <c r="E979" s="14" t="s">
        <v>29</v>
      </c>
      <c r="F979" s="3"/>
      <c r="G979" s="36" t="s">
        <v>30</v>
      </c>
      <c r="H979" s="36"/>
      <c r="I979" s="36"/>
      <c r="J979" s="36"/>
      <c r="K979" s="30" t="s">
        <v>388</v>
      </c>
      <c r="L979" s="7"/>
    </row>
    <row r="980" spans="1:17">
      <c r="A980">
        <v>3</v>
      </c>
      <c r="B980" s="16" t="s">
        <v>229</v>
      </c>
      <c r="C980" s="2"/>
      <c r="D980" s="3" t="s">
        <v>147</v>
      </c>
      <c r="E980" s="14" t="s">
        <v>29</v>
      </c>
      <c r="F980" s="3"/>
      <c r="G980" s="36" t="s">
        <v>30</v>
      </c>
      <c r="H980" s="36"/>
      <c r="I980" s="36"/>
      <c r="J980" s="36"/>
      <c r="K980" s="31" t="s">
        <v>379</v>
      </c>
      <c r="L980" s="7"/>
    </row>
    <row r="981" spans="1:17">
      <c r="A981">
        <v>4</v>
      </c>
      <c r="B981" s="16" t="s">
        <v>189</v>
      </c>
      <c r="C981" s="2"/>
      <c r="D981" s="3" t="s">
        <v>180</v>
      </c>
      <c r="E981" s="14" t="s">
        <v>29</v>
      </c>
      <c r="F981" s="3"/>
      <c r="G981" s="36" t="s">
        <v>30</v>
      </c>
      <c r="H981" s="36"/>
      <c r="I981" s="36"/>
      <c r="J981" s="36"/>
      <c r="K981" s="31" t="s">
        <v>381</v>
      </c>
      <c r="L981" s="7"/>
    </row>
    <row r="982" spans="1:17">
      <c r="A982">
        <v>5</v>
      </c>
      <c r="B982" s="16" t="s">
        <v>230</v>
      </c>
      <c r="C982" s="2"/>
      <c r="D982" s="3" t="s">
        <v>175</v>
      </c>
      <c r="E982" s="14" t="s">
        <v>29</v>
      </c>
      <c r="F982" s="3"/>
      <c r="G982" s="36" t="s">
        <v>30</v>
      </c>
      <c r="H982" s="36"/>
      <c r="I982" s="36"/>
      <c r="J982" s="36"/>
      <c r="K982" s="31" t="s">
        <v>383</v>
      </c>
      <c r="L982" s="7"/>
    </row>
    <row r="983" spans="1:17">
      <c r="A983">
        <v>6</v>
      </c>
      <c r="B983" s="16" t="s">
        <v>251</v>
      </c>
      <c r="C983" s="2"/>
      <c r="D983" s="3" t="s">
        <v>243</v>
      </c>
      <c r="E983" s="14" t="s">
        <v>29</v>
      </c>
      <c r="F983" s="3"/>
      <c r="G983" s="36" t="s">
        <v>30</v>
      </c>
      <c r="H983" s="36"/>
      <c r="I983" s="36"/>
      <c r="J983" s="36"/>
      <c r="K983" s="31" t="s">
        <v>389</v>
      </c>
      <c r="L983" s="7"/>
    </row>
    <row r="984" spans="1:17">
      <c r="A984">
        <v>7</v>
      </c>
      <c r="B984" s="16" t="s">
        <v>236</v>
      </c>
      <c r="C984" s="2"/>
      <c r="D984" s="3" t="s">
        <v>237</v>
      </c>
      <c r="E984" s="14" t="s">
        <v>31</v>
      </c>
      <c r="F984" s="3"/>
      <c r="G984" s="36"/>
      <c r="H984" s="36"/>
      <c r="I984" s="36"/>
      <c r="J984" s="36"/>
      <c r="K984" s="31"/>
      <c r="L984" s="7"/>
    </row>
    <row r="985" spans="1:17">
      <c r="A985">
        <v>8</v>
      </c>
      <c r="B985" s="16" t="s">
        <v>40</v>
      </c>
      <c r="C985" s="2"/>
      <c r="D985" s="3" t="s">
        <v>61</v>
      </c>
      <c r="E985" s="14" t="s">
        <v>33</v>
      </c>
      <c r="F985" s="3"/>
      <c r="G985" s="36"/>
      <c r="H985" s="36"/>
      <c r="I985" s="36"/>
      <c r="J985" s="36"/>
      <c r="K985" s="31"/>
      <c r="L985" s="7"/>
    </row>
    <row r="986" spans="1:17">
      <c r="A986">
        <v>9</v>
      </c>
      <c r="B986" s="16" t="s">
        <v>41</v>
      </c>
      <c r="C986" s="2"/>
      <c r="D986" s="3" t="s">
        <v>62</v>
      </c>
      <c r="E986" s="14" t="s">
        <v>33</v>
      </c>
      <c r="F986" s="3"/>
      <c r="G986" s="36"/>
      <c r="H986" s="36"/>
      <c r="I986" s="36"/>
      <c r="J986" s="36"/>
      <c r="K986" s="31"/>
      <c r="L986" s="7"/>
    </row>
    <row r="987" spans="1:17">
      <c r="A987">
        <v>10</v>
      </c>
      <c r="B987" s="16" t="s">
        <v>238</v>
      </c>
      <c r="C987" s="2"/>
      <c r="D987" s="3" t="s">
        <v>239</v>
      </c>
      <c r="E987" s="14" t="s">
        <v>31</v>
      </c>
      <c r="F987" s="3"/>
      <c r="G987" s="36"/>
      <c r="H987" s="36"/>
      <c r="I987" s="36"/>
      <c r="J987" s="36"/>
      <c r="K987" s="31"/>
      <c r="L987" s="7"/>
    </row>
    <row r="988" spans="1:17">
      <c r="A988">
        <v>11</v>
      </c>
      <c r="B988" s="16" t="s">
        <v>240</v>
      </c>
      <c r="C988" s="2"/>
      <c r="D988" s="3" t="s">
        <v>241</v>
      </c>
      <c r="E988" s="14" t="s">
        <v>31</v>
      </c>
      <c r="F988" s="36"/>
      <c r="G988" s="36"/>
      <c r="H988" s="36"/>
      <c r="I988" s="36"/>
      <c r="J988" s="30"/>
      <c r="K988" s="3"/>
      <c r="L988" s="7"/>
    </row>
    <row r="989" spans="1:17" ht="19.5" thickBot="1">
      <c r="A989">
        <v>12</v>
      </c>
      <c r="B989" s="17" t="s">
        <v>128</v>
      </c>
      <c r="C989" s="18"/>
      <c r="D989" s="18" t="s">
        <v>17</v>
      </c>
      <c r="E989" s="15" t="s">
        <v>31</v>
      </c>
      <c r="F989" s="37"/>
      <c r="G989" s="37"/>
      <c r="H989" s="37"/>
      <c r="I989" s="37"/>
      <c r="J989" s="38"/>
      <c r="K989" s="8"/>
      <c r="L989" s="9"/>
    </row>
    <row r="990" spans="1:17" ht="19.5" thickTop="1">
      <c r="J990" s="43"/>
    </row>
    <row r="991" spans="1:17">
      <c r="B991" t="str">
        <f>HYPERLINK("#'テーブル設計'!B2","テーブル一覧")</f>
        <v>テーブル一覧</v>
      </c>
    </row>
    <row r="992" spans="1:17" ht="19.5" thickBot="1"/>
    <row r="993" spans="2:14" ht="19.5" thickTop="1">
      <c r="B993" s="19" t="s">
        <v>21</v>
      </c>
      <c r="C993" s="4"/>
      <c r="D993" s="5" t="s">
        <v>308</v>
      </c>
      <c r="E993" s="6"/>
      <c r="F993" t="s">
        <v>307</v>
      </c>
      <c r="M993" t="str">
        <f t="shared" ref="M993" si="10">+D993</f>
        <v>labor_productivity_rules</v>
      </c>
      <c r="N993">
        <v>991</v>
      </c>
    </row>
    <row r="994" spans="2:14" ht="19.5" thickBot="1">
      <c r="B994" s="17" t="s">
        <v>22</v>
      </c>
      <c r="C994" s="15"/>
      <c r="D994" s="21" t="s">
        <v>309</v>
      </c>
      <c r="E994" s="20"/>
    </row>
    <row r="995" spans="2:14" ht="19.5" thickTop="1"/>
    <row r="996" spans="2:14">
      <c r="B996" s="1" t="s">
        <v>23</v>
      </c>
      <c r="C996" s="14"/>
    </row>
    <row r="997" spans="2:14">
      <c r="C997" t="s">
        <v>365</v>
      </c>
    </row>
    <row r="1001" spans="2:14">
      <c r="B1001" s="1" t="s">
        <v>24</v>
      </c>
      <c r="C1001" s="14"/>
    </row>
    <row r="1002" spans="2:14">
      <c r="C1002" t="s">
        <v>25</v>
      </c>
    </row>
    <row r="1004" spans="2:14">
      <c r="B1004" s="1" t="s">
        <v>26</v>
      </c>
      <c r="C1004" s="14"/>
    </row>
    <row r="1005" spans="2:14">
      <c r="C1005" s="10"/>
    </row>
    <row r="1010" spans="1:17">
      <c r="B1010" s="1" t="s">
        <v>49</v>
      </c>
      <c r="C1010" s="14"/>
    </row>
    <row r="1011" spans="1:17">
      <c r="C1011" s="24" t="s">
        <v>65</v>
      </c>
    </row>
    <row r="1019" spans="1:17" ht="19.5" thickBot="1"/>
    <row r="1020" spans="1:17" ht="19.5" thickTop="1">
      <c r="B1020" s="94" t="s">
        <v>2</v>
      </c>
      <c r="C1020" s="95"/>
      <c r="D1020" s="11" t="s">
        <v>3</v>
      </c>
      <c r="E1020" s="13" t="s">
        <v>4</v>
      </c>
      <c r="F1020" s="35" t="s">
        <v>5</v>
      </c>
      <c r="G1020" s="35" t="s">
        <v>7</v>
      </c>
      <c r="H1020" s="35" t="s">
        <v>27</v>
      </c>
      <c r="I1020" s="35" t="s">
        <v>47</v>
      </c>
      <c r="J1020" s="11" t="s">
        <v>14</v>
      </c>
      <c r="K1020" s="11" t="s">
        <v>15</v>
      </c>
      <c r="L1020" s="12" t="s">
        <v>17</v>
      </c>
      <c r="P1020" s="29"/>
      <c r="Q1020" s="28"/>
    </row>
    <row r="1021" spans="1:17">
      <c r="A1021">
        <v>1</v>
      </c>
      <c r="B1021" s="16" t="s">
        <v>25</v>
      </c>
      <c r="C1021" s="2"/>
      <c r="D1021" s="3" t="s">
        <v>256</v>
      </c>
      <c r="E1021" s="14" t="s">
        <v>29</v>
      </c>
      <c r="F1021" s="3" t="s">
        <v>30</v>
      </c>
      <c r="G1021" s="36"/>
      <c r="H1021" s="36" t="s">
        <v>30</v>
      </c>
      <c r="I1021" s="36" t="s">
        <v>30</v>
      </c>
      <c r="J1021" s="36"/>
      <c r="K1021" s="31"/>
      <c r="L1021" s="7" t="s">
        <v>219</v>
      </c>
    </row>
    <row r="1022" spans="1:17">
      <c r="A1022">
        <v>2</v>
      </c>
      <c r="B1022" s="16" t="s">
        <v>120</v>
      </c>
      <c r="C1022" s="2"/>
      <c r="D1022" s="3" t="s">
        <v>228</v>
      </c>
      <c r="E1022" s="14" t="s">
        <v>29</v>
      </c>
      <c r="F1022" s="3"/>
      <c r="G1022" s="36" t="s">
        <v>30</v>
      </c>
      <c r="H1022" s="36"/>
      <c r="I1022" s="36"/>
      <c r="J1022" s="36"/>
      <c r="K1022" s="31" t="s">
        <v>385</v>
      </c>
      <c r="L1022" s="7"/>
    </row>
    <row r="1023" spans="1:17">
      <c r="A1023">
        <v>3</v>
      </c>
      <c r="B1023" s="16" t="s">
        <v>257</v>
      </c>
      <c r="C1023" s="2"/>
      <c r="D1023" s="3" t="s">
        <v>258</v>
      </c>
      <c r="E1023" s="14" t="s">
        <v>31</v>
      </c>
      <c r="F1023" s="3"/>
      <c r="G1023" s="36"/>
      <c r="H1023" s="36"/>
      <c r="I1023" s="36"/>
      <c r="J1023" s="36"/>
      <c r="K1023" s="31"/>
      <c r="L1023" s="7"/>
    </row>
    <row r="1024" spans="1:17">
      <c r="A1024">
        <v>4</v>
      </c>
      <c r="B1024" s="16" t="s">
        <v>259</v>
      </c>
      <c r="C1024" s="2"/>
      <c r="D1024" s="3" t="s">
        <v>253</v>
      </c>
      <c r="E1024" s="14" t="s">
        <v>29</v>
      </c>
      <c r="F1024" s="3"/>
      <c r="G1024" s="36" t="s">
        <v>30</v>
      </c>
      <c r="H1024" s="36"/>
      <c r="I1024" s="36"/>
      <c r="J1024" s="36"/>
      <c r="K1024" s="31" t="s">
        <v>390</v>
      </c>
      <c r="L1024" s="7"/>
    </row>
    <row r="1025" spans="1:12">
      <c r="A1025">
        <v>5</v>
      </c>
      <c r="B1025" s="16" t="s">
        <v>229</v>
      </c>
      <c r="C1025" s="2"/>
      <c r="D1025" s="3" t="s">
        <v>147</v>
      </c>
      <c r="E1025" s="14" t="s">
        <v>29</v>
      </c>
      <c r="F1025" s="3"/>
      <c r="G1025" s="36" t="s">
        <v>30</v>
      </c>
      <c r="H1025" s="36"/>
      <c r="I1025" s="36"/>
      <c r="J1025" s="36"/>
      <c r="K1025" s="31" t="s">
        <v>379</v>
      </c>
      <c r="L1025" s="7"/>
    </row>
    <row r="1026" spans="1:12">
      <c r="A1026">
        <v>6</v>
      </c>
      <c r="B1026" s="16" t="s">
        <v>189</v>
      </c>
      <c r="C1026" s="2"/>
      <c r="D1026" s="3" t="s">
        <v>180</v>
      </c>
      <c r="E1026" s="14" t="s">
        <v>29</v>
      </c>
      <c r="F1026" s="3"/>
      <c r="G1026" s="36" t="s">
        <v>30</v>
      </c>
      <c r="H1026" s="36"/>
      <c r="I1026" s="36"/>
      <c r="J1026" s="36"/>
      <c r="K1026" s="31" t="s">
        <v>381</v>
      </c>
      <c r="L1026" s="7"/>
    </row>
    <row r="1027" spans="1:12">
      <c r="A1027">
        <v>7</v>
      </c>
      <c r="B1027" s="16" t="s">
        <v>260</v>
      </c>
      <c r="C1027" s="2"/>
      <c r="D1027" s="3" t="s">
        <v>202</v>
      </c>
      <c r="E1027" s="14" t="s">
        <v>29</v>
      </c>
      <c r="F1027" s="3"/>
      <c r="G1027" s="36" t="s">
        <v>30</v>
      </c>
      <c r="H1027" s="36"/>
      <c r="I1027" s="36"/>
      <c r="J1027" s="36"/>
      <c r="K1027" s="30" t="s">
        <v>391</v>
      </c>
      <c r="L1027" s="7"/>
    </row>
    <row r="1028" spans="1:12">
      <c r="A1028">
        <v>8</v>
      </c>
      <c r="B1028" s="16" t="s">
        <v>230</v>
      </c>
      <c r="C1028" s="2"/>
      <c r="D1028" s="3" t="s">
        <v>175</v>
      </c>
      <c r="E1028" s="14" t="s">
        <v>29</v>
      </c>
      <c r="F1028" s="3"/>
      <c r="G1028" s="36" t="s">
        <v>30</v>
      </c>
      <c r="H1028" s="36"/>
      <c r="I1028" s="36"/>
      <c r="J1028" s="36"/>
      <c r="K1028" s="31" t="s">
        <v>383</v>
      </c>
      <c r="L1028" s="7"/>
    </row>
    <row r="1029" spans="1:12">
      <c r="A1029">
        <v>9</v>
      </c>
      <c r="B1029" s="16" t="s">
        <v>233</v>
      </c>
      <c r="C1029" s="2"/>
      <c r="D1029" s="3" t="s">
        <v>220</v>
      </c>
      <c r="E1029" s="14" t="s">
        <v>29</v>
      </c>
      <c r="F1029" s="3"/>
      <c r="G1029" s="36" t="s">
        <v>30</v>
      </c>
      <c r="H1029" s="36"/>
      <c r="I1029" s="36"/>
      <c r="J1029" s="36"/>
      <c r="K1029" s="31" t="s">
        <v>387</v>
      </c>
      <c r="L1029" s="7"/>
    </row>
    <row r="1030" spans="1:12">
      <c r="A1030">
        <v>10</v>
      </c>
      <c r="B1030" s="16" t="s">
        <v>251</v>
      </c>
      <c r="C1030" s="2"/>
      <c r="D1030" s="3" t="s">
        <v>243</v>
      </c>
      <c r="E1030" s="14" t="s">
        <v>29</v>
      </c>
      <c r="F1030" s="3"/>
      <c r="G1030" s="36" t="s">
        <v>30</v>
      </c>
      <c r="H1030" s="36"/>
      <c r="I1030" s="36"/>
      <c r="J1030" s="36"/>
      <c r="K1030" s="31" t="s">
        <v>389</v>
      </c>
      <c r="L1030" s="7"/>
    </row>
    <row r="1031" spans="1:12">
      <c r="A1031">
        <v>11</v>
      </c>
      <c r="B1031" s="16" t="s">
        <v>236</v>
      </c>
      <c r="C1031" s="2"/>
      <c r="D1031" s="3" t="s">
        <v>237</v>
      </c>
      <c r="E1031" s="14" t="s">
        <v>31</v>
      </c>
      <c r="F1031" s="3"/>
      <c r="G1031" s="36"/>
      <c r="H1031" s="36"/>
      <c r="I1031" s="36"/>
      <c r="J1031" s="36"/>
      <c r="K1031" s="31"/>
      <c r="L1031" s="7"/>
    </row>
    <row r="1032" spans="1:12">
      <c r="A1032">
        <v>12</v>
      </c>
      <c r="B1032" s="16" t="s">
        <v>261</v>
      </c>
      <c r="C1032" s="2"/>
      <c r="D1032" s="3" t="s">
        <v>262</v>
      </c>
      <c r="E1032" s="14" t="s">
        <v>31</v>
      </c>
      <c r="F1032" s="3"/>
      <c r="G1032" s="36"/>
      <c r="H1032" s="36"/>
      <c r="I1032" s="36"/>
      <c r="J1032" s="36"/>
      <c r="K1032" s="31"/>
      <c r="L1032" s="7"/>
    </row>
    <row r="1033" spans="1:12">
      <c r="A1033">
        <v>13</v>
      </c>
      <c r="B1033" s="16" t="s">
        <v>263</v>
      </c>
      <c r="C1033" s="2"/>
      <c r="D1033" s="3" t="s">
        <v>264</v>
      </c>
      <c r="E1033" s="14" t="s">
        <v>212</v>
      </c>
      <c r="F1033" s="3"/>
      <c r="G1033" s="36"/>
      <c r="H1033" s="36"/>
      <c r="I1033" s="36"/>
      <c r="J1033" s="36"/>
      <c r="K1033" s="31"/>
      <c r="L1033" s="7"/>
    </row>
    <row r="1034" spans="1:12">
      <c r="A1034">
        <v>14</v>
      </c>
      <c r="B1034" s="16" t="s">
        <v>40</v>
      </c>
      <c r="C1034" s="2"/>
      <c r="D1034" s="3" t="s">
        <v>61</v>
      </c>
      <c r="E1034" s="14" t="s">
        <v>33</v>
      </c>
      <c r="F1034" s="3"/>
      <c r="G1034" s="36"/>
      <c r="H1034" s="36"/>
      <c r="I1034" s="36"/>
      <c r="J1034" s="36"/>
      <c r="K1034" s="31"/>
      <c r="L1034" s="7"/>
    </row>
    <row r="1035" spans="1:12">
      <c r="A1035">
        <v>15</v>
      </c>
      <c r="B1035" s="16" t="s">
        <v>41</v>
      </c>
      <c r="C1035" s="2"/>
      <c r="D1035" s="3" t="s">
        <v>62</v>
      </c>
      <c r="E1035" s="14" t="s">
        <v>33</v>
      </c>
      <c r="F1035" s="3"/>
      <c r="G1035" s="36"/>
      <c r="H1035" s="36"/>
      <c r="I1035" s="36"/>
      <c r="J1035" s="36"/>
      <c r="K1035" s="31"/>
      <c r="L1035" s="7"/>
    </row>
    <row r="1036" spans="1:12">
      <c r="A1036">
        <v>16</v>
      </c>
      <c r="B1036" s="16" t="s">
        <v>238</v>
      </c>
      <c r="C1036" s="2"/>
      <c r="D1036" s="3" t="s">
        <v>239</v>
      </c>
      <c r="E1036" s="14" t="s">
        <v>31</v>
      </c>
      <c r="F1036" s="3"/>
      <c r="G1036" s="36"/>
      <c r="H1036" s="36"/>
      <c r="I1036" s="36"/>
      <c r="J1036" s="36"/>
      <c r="K1036" s="31"/>
      <c r="L1036" s="7"/>
    </row>
    <row r="1037" spans="1:12">
      <c r="A1037">
        <v>17</v>
      </c>
      <c r="B1037" s="16" t="s">
        <v>240</v>
      </c>
      <c r="C1037" s="2"/>
      <c r="D1037" s="3" t="s">
        <v>241</v>
      </c>
      <c r="E1037" s="14" t="s">
        <v>31</v>
      </c>
      <c r="F1037" s="36"/>
      <c r="G1037" s="36"/>
      <c r="H1037" s="36"/>
      <c r="I1037" s="36"/>
      <c r="J1037" s="30"/>
      <c r="K1037" s="3"/>
      <c r="L1037" s="7"/>
    </row>
    <row r="1038" spans="1:12" ht="19.5" thickBot="1">
      <c r="A1038">
        <v>18</v>
      </c>
      <c r="B1038" s="17" t="s">
        <v>128</v>
      </c>
      <c r="C1038" s="79"/>
      <c r="D1038" s="8" t="s">
        <v>17</v>
      </c>
      <c r="E1038" s="15" t="s">
        <v>31</v>
      </c>
      <c r="F1038" s="37"/>
      <c r="G1038" s="37"/>
      <c r="H1038" s="37"/>
      <c r="I1038" s="37"/>
      <c r="J1038" s="38"/>
      <c r="K1038" s="8"/>
      <c r="L1038" s="9"/>
    </row>
    <row r="1039" spans="1:12" ht="19.5" thickTop="1">
      <c r="J1039" s="43"/>
    </row>
    <row r="1040" spans="1:12">
      <c r="B1040" t="str">
        <f>HYPERLINK("#'テーブル設計'!B2","テーブル一覧")</f>
        <v>テーブル一覧</v>
      </c>
    </row>
    <row r="1041" spans="2:14" ht="19.5" thickBot="1"/>
    <row r="1042" spans="2:14" ht="19.5" thickTop="1">
      <c r="B1042" s="19" t="s">
        <v>21</v>
      </c>
      <c r="C1042" s="4"/>
      <c r="D1042" s="47" t="s">
        <v>742</v>
      </c>
      <c r="E1042" s="6"/>
      <c r="F1042" s="24" t="s">
        <v>740</v>
      </c>
      <c r="M1042" t="str">
        <f t="shared" ref="M1042" si="11">+D1042</f>
        <v>duct_thickness_rules</v>
      </c>
      <c r="N1042">
        <v>1040</v>
      </c>
    </row>
    <row r="1043" spans="2:14" ht="19.5" thickBot="1">
      <c r="B1043" s="17" t="s">
        <v>22</v>
      </c>
      <c r="C1043" s="15"/>
      <c r="D1043" s="76" t="s">
        <v>744</v>
      </c>
      <c r="E1043" s="20"/>
    </row>
    <row r="1044" spans="2:14" ht="19.5" thickTop="1"/>
    <row r="1045" spans="2:14">
      <c r="B1045" s="1" t="s">
        <v>23</v>
      </c>
      <c r="C1045" s="14"/>
    </row>
    <row r="1046" spans="2:14">
      <c r="C1046" t="s">
        <v>745</v>
      </c>
    </row>
    <row r="1047" spans="2:14">
      <c r="C1047" t="s">
        <v>746</v>
      </c>
    </row>
    <row r="1050" spans="2:14">
      <c r="B1050" s="1" t="s">
        <v>24</v>
      </c>
      <c r="C1050" s="14"/>
    </row>
    <row r="1051" spans="2:14">
      <c r="C1051" t="s">
        <v>25</v>
      </c>
    </row>
    <row r="1053" spans="2:14">
      <c r="B1053" s="1" t="s">
        <v>26</v>
      </c>
      <c r="C1053" s="14"/>
    </row>
    <row r="1054" spans="2:14">
      <c r="C1054" s="93" t="s">
        <v>800</v>
      </c>
    </row>
    <row r="1059" spans="1:26">
      <c r="B1059" s="1" t="s">
        <v>49</v>
      </c>
      <c r="C1059" s="14"/>
    </row>
    <row r="1060" spans="1:26">
      <c r="C1060" s="24" t="s">
        <v>747</v>
      </c>
    </row>
    <row r="1061" spans="1:26">
      <c r="C1061" t="s">
        <v>748</v>
      </c>
    </row>
    <row r="1062" spans="1:26">
      <c r="C1062" t="s">
        <v>749</v>
      </c>
    </row>
    <row r="1063" spans="1:26">
      <c r="C1063" t="s">
        <v>750</v>
      </c>
    </row>
    <row r="1064" spans="1:26">
      <c r="C1064" t="s">
        <v>751</v>
      </c>
    </row>
    <row r="1065" spans="1:26">
      <c r="C1065" t="s">
        <v>752</v>
      </c>
    </row>
    <row r="1066" spans="1:26">
      <c r="C1066" t="s">
        <v>753</v>
      </c>
    </row>
    <row r="1067" spans="1:26">
      <c r="C1067" t="s">
        <v>754</v>
      </c>
    </row>
    <row r="1068" spans="1:26" ht="19.5" thickBot="1">
      <c r="C1068" s="24" t="s">
        <v>805</v>
      </c>
      <c r="P1068" s="96"/>
      <c r="Q1068" s="97"/>
      <c r="R1068" s="90"/>
      <c r="S1068" s="90"/>
      <c r="T1068" s="91"/>
      <c r="U1068" s="91"/>
      <c r="V1068" s="91"/>
      <c r="W1068" s="91"/>
      <c r="X1068" s="90"/>
      <c r="Y1068" s="90"/>
      <c r="Z1068" s="90"/>
    </row>
    <row r="1069" spans="1:26" ht="19.5" thickTop="1">
      <c r="B1069" s="94" t="s">
        <v>2</v>
      </c>
      <c r="C1069" s="95"/>
      <c r="D1069" s="11" t="s">
        <v>3</v>
      </c>
      <c r="E1069" s="13" t="s">
        <v>4</v>
      </c>
      <c r="F1069" s="35" t="s">
        <v>5</v>
      </c>
      <c r="G1069" s="35" t="s">
        <v>7</v>
      </c>
      <c r="H1069" s="35" t="s">
        <v>27</v>
      </c>
      <c r="I1069" s="35" t="s">
        <v>47</v>
      </c>
      <c r="J1069" s="11" t="s">
        <v>14</v>
      </c>
      <c r="K1069" s="11" t="s">
        <v>15</v>
      </c>
      <c r="L1069" s="12" t="s">
        <v>17</v>
      </c>
      <c r="P1069" s="29"/>
      <c r="Q1069" s="28"/>
      <c r="R1069" s="28"/>
    </row>
    <row r="1070" spans="1:26">
      <c r="A1070">
        <v>1</v>
      </c>
      <c r="B1070" s="16" t="s">
        <v>25</v>
      </c>
      <c r="C1070" s="2"/>
      <c r="D1070" s="3" t="s">
        <v>28</v>
      </c>
      <c r="E1070" s="14" t="s">
        <v>29</v>
      </c>
      <c r="F1070" s="3" t="s">
        <v>405</v>
      </c>
      <c r="G1070" s="36"/>
      <c r="H1070" s="36" t="s">
        <v>405</v>
      </c>
      <c r="I1070" s="36"/>
      <c r="J1070" s="36"/>
      <c r="K1070" s="31"/>
      <c r="L1070" s="7" t="s">
        <v>755</v>
      </c>
    </row>
    <row r="1071" spans="1:26">
      <c r="A1071">
        <v>2</v>
      </c>
      <c r="B1071" s="16" t="s">
        <v>86</v>
      </c>
      <c r="C1071" s="2"/>
      <c r="D1071" s="3" t="s">
        <v>756</v>
      </c>
      <c r="E1071" s="14" t="s">
        <v>730</v>
      </c>
      <c r="F1071" s="3"/>
      <c r="G1071" s="36"/>
      <c r="H1071" s="36" t="s">
        <v>405</v>
      </c>
      <c r="I1071" s="36"/>
      <c r="J1071" s="36"/>
      <c r="K1071" s="31"/>
      <c r="L1071" s="7" t="s">
        <v>757</v>
      </c>
    </row>
    <row r="1072" spans="1:26">
      <c r="A1072">
        <v>3</v>
      </c>
      <c r="B1072" s="16" t="s">
        <v>758</v>
      </c>
      <c r="C1072" s="2"/>
      <c r="D1072" s="3" t="s">
        <v>759</v>
      </c>
      <c r="E1072" s="14" t="s">
        <v>668</v>
      </c>
      <c r="F1072" s="3"/>
      <c r="G1072" s="36"/>
      <c r="H1072" s="36" t="s">
        <v>405</v>
      </c>
      <c r="I1072" s="36"/>
      <c r="J1072" s="36"/>
      <c r="K1072" s="31"/>
      <c r="L1072" s="7" t="s">
        <v>760</v>
      </c>
    </row>
    <row r="1073" spans="1:12">
      <c r="A1073">
        <v>4</v>
      </c>
      <c r="B1073" s="16" t="s">
        <v>761</v>
      </c>
      <c r="C1073" s="2"/>
      <c r="D1073" s="3" t="s">
        <v>762</v>
      </c>
      <c r="E1073" s="14" t="s">
        <v>649</v>
      </c>
      <c r="F1073" s="3"/>
      <c r="G1073" s="36"/>
      <c r="H1073" s="36"/>
      <c r="I1073" s="36"/>
      <c r="J1073" s="36"/>
      <c r="K1073" s="31"/>
      <c r="L1073" s="7" t="s">
        <v>763</v>
      </c>
    </row>
    <row r="1074" spans="1:12">
      <c r="A1074">
        <v>5</v>
      </c>
      <c r="B1074" s="16" t="s">
        <v>764</v>
      </c>
      <c r="C1074" s="2"/>
      <c r="D1074" s="3" t="s">
        <v>765</v>
      </c>
      <c r="E1074" s="14" t="s">
        <v>649</v>
      </c>
      <c r="F1074" s="3"/>
      <c r="G1074" s="36"/>
      <c r="H1074" s="36"/>
      <c r="I1074" s="36"/>
      <c r="J1074" s="36"/>
      <c r="K1074" s="31"/>
      <c r="L1074" s="7" t="s">
        <v>766</v>
      </c>
    </row>
    <row r="1075" spans="1:12">
      <c r="A1075">
        <v>6</v>
      </c>
      <c r="B1075" s="16" t="s">
        <v>767</v>
      </c>
      <c r="C1075" s="2"/>
      <c r="D1075" s="3" t="s">
        <v>768</v>
      </c>
      <c r="E1075" s="14" t="s">
        <v>668</v>
      </c>
      <c r="F1075" s="3"/>
      <c r="G1075" s="36"/>
      <c r="H1075" s="36" t="s">
        <v>405</v>
      </c>
      <c r="I1075" s="36"/>
      <c r="J1075" s="36"/>
      <c r="K1075" s="31"/>
      <c r="L1075" s="7" t="s">
        <v>769</v>
      </c>
    </row>
    <row r="1076" spans="1:12">
      <c r="A1076">
        <v>7</v>
      </c>
      <c r="B1076" s="16" t="s">
        <v>770</v>
      </c>
      <c r="C1076" s="2"/>
      <c r="D1076" s="3" t="s">
        <v>771</v>
      </c>
      <c r="E1076" s="14" t="s">
        <v>668</v>
      </c>
      <c r="F1076" s="3"/>
      <c r="G1076" s="36"/>
      <c r="H1076" s="36" t="s">
        <v>405</v>
      </c>
      <c r="I1076" s="36"/>
      <c r="J1076" s="36"/>
      <c r="K1076" s="30"/>
      <c r="L1076" s="7" t="s">
        <v>806</v>
      </c>
    </row>
    <row r="1077" spans="1:12">
      <c r="A1077">
        <v>8</v>
      </c>
      <c r="B1077" s="16" t="s">
        <v>772</v>
      </c>
      <c r="C1077" s="2"/>
      <c r="D1077" s="3" t="s">
        <v>773</v>
      </c>
      <c r="E1077" s="14" t="s">
        <v>774</v>
      </c>
      <c r="F1077" s="3"/>
      <c r="G1077" s="36"/>
      <c r="H1077" s="36"/>
      <c r="I1077" s="36"/>
      <c r="J1077" s="36"/>
      <c r="K1077" s="31"/>
      <c r="L1077" s="7" t="s">
        <v>775</v>
      </c>
    </row>
    <row r="1078" spans="1:12">
      <c r="A1078">
        <v>9</v>
      </c>
      <c r="B1078" s="16" t="s">
        <v>776</v>
      </c>
      <c r="C1078" s="2"/>
      <c r="D1078" s="3" t="s">
        <v>777</v>
      </c>
      <c r="E1078" s="14" t="s">
        <v>774</v>
      </c>
      <c r="F1078" s="3"/>
      <c r="G1078" s="36"/>
      <c r="H1078" s="36"/>
      <c r="I1078" s="36"/>
      <c r="J1078" s="36"/>
      <c r="K1078" s="31"/>
      <c r="L1078" s="7" t="s">
        <v>778</v>
      </c>
    </row>
    <row r="1079" spans="1:12">
      <c r="A1079">
        <v>10</v>
      </c>
      <c r="B1079" s="16" t="s">
        <v>779</v>
      </c>
      <c r="C1079" s="2"/>
      <c r="D1079" s="3" t="s">
        <v>780</v>
      </c>
      <c r="E1079" s="14" t="s">
        <v>42</v>
      </c>
      <c r="F1079" s="3"/>
      <c r="G1079" s="36"/>
      <c r="H1079" s="36" t="s">
        <v>405</v>
      </c>
      <c r="I1079" s="36"/>
      <c r="J1079" s="36" t="b">
        <v>0</v>
      </c>
      <c r="K1079" s="31"/>
      <c r="L1079" s="7" t="s">
        <v>781</v>
      </c>
    </row>
    <row r="1080" spans="1:12">
      <c r="A1080">
        <v>11</v>
      </c>
      <c r="B1080" s="16" t="s">
        <v>782</v>
      </c>
      <c r="C1080" s="2"/>
      <c r="D1080" s="3" t="s">
        <v>783</v>
      </c>
      <c r="E1080" s="14" t="s">
        <v>42</v>
      </c>
      <c r="F1080" s="3"/>
      <c r="G1080" s="36"/>
      <c r="H1080" s="36" t="s">
        <v>405</v>
      </c>
      <c r="I1080" s="36"/>
      <c r="J1080" s="36" t="b">
        <v>1</v>
      </c>
      <c r="K1080" s="31"/>
      <c r="L1080" s="7" t="s">
        <v>784</v>
      </c>
    </row>
    <row r="1081" spans="1:12">
      <c r="A1081">
        <v>12</v>
      </c>
      <c r="B1081" s="16" t="s">
        <v>785</v>
      </c>
      <c r="C1081" s="2"/>
      <c r="D1081" s="3" t="s">
        <v>786</v>
      </c>
      <c r="E1081" s="14" t="s">
        <v>787</v>
      </c>
      <c r="F1081" s="3"/>
      <c r="G1081" s="36"/>
      <c r="H1081" s="36" t="s">
        <v>405</v>
      </c>
      <c r="I1081" s="36"/>
      <c r="J1081" s="36"/>
      <c r="K1081" s="31"/>
      <c r="L1081" s="7" t="s">
        <v>788</v>
      </c>
    </row>
    <row r="1082" spans="1:12">
      <c r="A1082">
        <v>13</v>
      </c>
      <c r="B1082" s="16" t="s">
        <v>542</v>
      </c>
      <c r="C1082" s="2"/>
      <c r="D1082" s="3" t="s">
        <v>789</v>
      </c>
      <c r="E1082" s="14" t="s">
        <v>29</v>
      </c>
      <c r="F1082" s="3"/>
      <c r="G1082" s="36" t="s">
        <v>405</v>
      </c>
      <c r="H1082" s="36" t="s">
        <v>405</v>
      </c>
      <c r="I1082" s="36"/>
      <c r="J1082" s="36"/>
      <c r="K1082" s="31" t="s">
        <v>543</v>
      </c>
      <c r="L1082" s="7" t="s">
        <v>790</v>
      </c>
    </row>
    <row r="1083" spans="1:12">
      <c r="A1083">
        <v>14</v>
      </c>
      <c r="B1083" s="16" t="s">
        <v>123</v>
      </c>
      <c r="C1083" s="2"/>
      <c r="D1083" s="3" t="s">
        <v>791</v>
      </c>
      <c r="E1083" s="14" t="s">
        <v>29</v>
      </c>
      <c r="F1083" s="3"/>
      <c r="G1083" s="36"/>
      <c r="H1083" s="36" t="s">
        <v>405</v>
      </c>
      <c r="I1083" s="36"/>
      <c r="J1083" s="36">
        <v>100</v>
      </c>
      <c r="K1083" s="31"/>
      <c r="L1083" s="7" t="s">
        <v>792</v>
      </c>
    </row>
    <row r="1084" spans="1:12">
      <c r="A1084">
        <v>15</v>
      </c>
      <c r="B1084" s="16" t="s">
        <v>45</v>
      </c>
      <c r="C1084" s="2"/>
      <c r="D1084" s="3" t="s">
        <v>17</v>
      </c>
      <c r="E1084" s="14" t="s">
        <v>31</v>
      </c>
      <c r="F1084" s="3"/>
      <c r="G1084" s="36"/>
      <c r="H1084" s="36"/>
      <c r="I1084" s="36"/>
      <c r="J1084" s="36"/>
      <c r="K1084" s="31"/>
      <c r="L1084" s="7" t="s">
        <v>793</v>
      </c>
    </row>
    <row r="1085" spans="1:12">
      <c r="A1085">
        <v>16</v>
      </c>
      <c r="B1085" s="16" t="s">
        <v>57</v>
      </c>
      <c r="C1085" s="2"/>
      <c r="D1085" s="3" t="s">
        <v>56</v>
      </c>
      <c r="E1085" s="14" t="s">
        <v>42</v>
      </c>
      <c r="F1085" s="3"/>
      <c r="G1085" s="36"/>
      <c r="H1085" s="36" t="s">
        <v>405</v>
      </c>
      <c r="I1085" s="36"/>
      <c r="J1085" s="36" t="b">
        <v>1</v>
      </c>
      <c r="K1085" s="31"/>
      <c r="L1085" s="7" t="s">
        <v>794</v>
      </c>
    </row>
    <row r="1086" spans="1:12">
      <c r="A1086">
        <v>17</v>
      </c>
      <c r="B1086" s="16" t="s">
        <v>34</v>
      </c>
      <c r="C1086" s="2"/>
      <c r="D1086" s="3" t="s">
        <v>35</v>
      </c>
      <c r="E1086" s="14" t="s">
        <v>36</v>
      </c>
      <c r="F1086" s="36"/>
      <c r="G1086" s="36"/>
      <c r="H1086" s="36" t="s">
        <v>405</v>
      </c>
      <c r="I1086" s="36"/>
      <c r="J1086" s="30" t="s">
        <v>799</v>
      </c>
      <c r="K1086" s="3"/>
      <c r="L1086" s="7"/>
    </row>
    <row r="1087" spans="1:12" ht="19.5" thickBot="1">
      <c r="A1087">
        <v>18</v>
      </c>
      <c r="B1087" s="17" t="s">
        <v>38</v>
      </c>
      <c r="C1087" s="79"/>
      <c r="D1087" s="8" t="s">
        <v>39</v>
      </c>
      <c r="E1087" s="15" t="s">
        <v>36</v>
      </c>
      <c r="F1087" s="37"/>
      <c r="G1087" s="37"/>
      <c r="H1087" s="37" t="s">
        <v>405</v>
      </c>
      <c r="I1087" s="37"/>
      <c r="J1087" s="92" t="s">
        <v>799</v>
      </c>
      <c r="K1087" s="8"/>
      <c r="L1087" s="9"/>
    </row>
    <row r="1088" spans="1:12" ht="19.5" thickTop="1">
      <c r="J1088" s="43"/>
    </row>
    <row r="1089" spans="2:14">
      <c r="B1089" t="str">
        <f>HYPERLINK("#'テーブル設計'!B2","テーブル一覧")</f>
        <v>テーブル一覧</v>
      </c>
    </row>
    <row r="1090" spans="2:14" ht="19.5" thickBot="1"/>
    <row r="1091" spans="2:14" ht="19.5" thickTop="1">
      <c r="B1091" s="19" t="s">
        <v>21</v>
      </c>
      <c r="C1091" s="4"/>
      <c r="D1091" s="5" t="s">
        <v>617</v>
      </c>
      <c r="E1091" s="6"/>
      <c r="F1091" t="s">
        <v>614</v>
      </c>
      <c r="M1091" t="str">
        <f>+D1091</f>
        <v>inference_results</v>
      </c>
      <c r="N1091">
        <v>1089</v>
      </c>
    </row>
    <row r="1092" spans="2:14" ht="19.5" thickBot="1">
      <c r="B1092" s="17" t="s">
        <v>22</v>
      </c>
      <c r="C1092" s="15"/>
      <c r="D1092" s="21" t="s">
        <v>618</v>
      </c>
      <c r="E1092" s="20"/>
    </row>
    <row r="1093" spans="2:14" ht="19.5" thickTop="1"/>
    <row r="1094" spans="2:14">
      <c r="B1094" s="1" t="s">
        <v>23</v>
      </c>
      <c r="C1094" s="14"/>
    </row>
    <row r="1099" spans="2:14">
      <c r="B1099" s="1" t="s">
        <v>24</v>
      </c>
      <c r="C1099" s="14"/>
    </row>
    <row r="1100" spans="2:14">
      <c r="C1100" t="s">
        <v>25</v>
      </c>
    </row>
    <row r="1102" spans="2:14">
      <c r="B1102" s="1" t="s">
        <v>26</v>
      </c>
      <c r="C1102" s="14"/>
    </row>
    <row r="1103" spans="2:14">
      <c r="C1103" s="10"/>
    </row>
    <row r="1108" spans="1:17">
      <c r="B1108" s="1" t="s">
        <v>49</v>
      </c>
      <c r="C1108" s="14"/>
    </row>
    <row r="1109" spans="1:17">
      <c r="C1109" t="s">
        <v>642</v>
      </c>
    </row>
    <row r="1116" spans="1:17" ht="19.5" thickBot="1"/>
    <row r="1117" spans="1:17" ht="19.5" thickTop="1">
      <c r="B1117" s="94" t="s">
        <v>2</v>
      </c>
      <c r="C1117" s="95"/>
      <c r="D1117" s="11" t="s">
        <v>3</v>
      </c>
      <c r="E1117" s="13" t="s">
        <v>4</v>
      </c>
      <c r="F1117" s="35" t="s">
        <v>5</v>
      </c>
      <c r="G1117" s="35" t="s">
        <v>7</v>
      </c>
      <c r="H1117" s="35" t="s">
        <v>27</v>
      </c>
      <c r="I1117" s="35" t="s">
        <v>47</v>
      </c>
      <c r="J1117" s="11" t="s">
        <v>14</v>
      </c>
      <c r="K1117" s="11" t="s">
        <v>15</v>
      </c>
      <c r="L1117" s="12" t="s">
        <v>17</v>
      </c>
      <c r="P1117" s="29"/>
      <c r="Q1117" s="28"/>
    </row>
    <row r="1118" spans="1:17">
      <c r="A1118">
        <v>1</v>
      </c>
      <c r="B1118" s="16" t="s">
        <v>25</v>
      </c>
      <c r="C1118" s="2"/>
      <c r="D1118" s="3" t="s">
        <v>643</v>
      </c>
      <c r="E1118" s="14" t="s">
        <v>29</v>
      </c>
      <c r="F1118" s="3" t="s">
        <v>416</v>
      </c>
      <c r="G1118" s="36"/>
      <c r="H1118" s="36" t="s">
        <v>416</v>
      </c>
      <c r="I1118" s="36"/>
      <c r="J1118" s="36"/>
      <c r="K1118" s="31"/>
      <c r="L1118" s="7" t="s">
        <v>644</v>
      </c>
    </row>
    <row r="1119" spans="1:17">
      <c r="A1119">
        <v>2</v>
      </c>
      <c r="B1119" s="16" t="s">
        <v>119</v>
      </c>
      <c r="C1119" s="2"/>
      <c r="D1119" s="3" t="s">
        <v>100</v>
      </c>
      <c r="E1119" s="14" t="s">
        <v>29</v>
      </c>
      <c r="F1119" s="3"/>
      <c r="G1119" s="36" t="s">
        <v>416</v>
      </c>
      <c r="H1119" s="36" t="s">
        <v>416</v>
      </c>
      <c r="I1119" s="36"/>
      <c r="J1119" s="36"/>
      <c r="K1119" s="31" t="s">
        <v>378</v>
      </c>
      <c r="L1119" s="7" t="s">
        <v>645</v>
      </c>
    </row>
    <row r="1120" spans="1:17">
      <c r="A1120">
        <v>3</v>
      </c>
      <c r="B1120" s="16" t="s">
        <v>342</v>
      </c>
      <c r="C1120" s="2"/>
      <c r="D1120" s="3" t="s">
        <v>367</v>
      </c>
      <c r="E1120" s="14" t="s">
        <v>29</v>
      </c>
      <c r="F1120" s="3"/>
      <c r="G1120" s="36" t="s">
        <v>416</v>
      </c>
      <c r="H1120" s="36" t="s">
        <v>416</v>
      </c>
      <c r="I1120" s="36"/>
      <c r="J1120" s="36"/>
      <c r="K1120" s="31" t="s">
        <v>382</v>
      </c>
      <c r="L1120" s="7" t="s">
        <v>646</v>
      </c>
    </row>
    <row r="1121" spans="1:14">
      <c r="A1121">
        <v>4</v>
      </c>
      <c r="B1121" s="16" t="s">
        <v>647</v>
      </c>
      <c r="C1121" s="2"/>
      <c r="D1121" s="3" t="s">
        <v>648</v>
      </c>
      <c r="E1121" s="14" t="s">
        <v>649</v>
      </c>
      <c r="F1121" s="3"/>
      <c r="G1121" s="36"/>
      <c r="H1121" s="36" t="s">
        <v>416</v>
      </c>
      <c r="I1121" s="36"/>
      <c r="J1121" s="36"/>
      <c r="K1121" s="31"/>
      <c r="L1121" s="7" t="s">
        <v>650</v>
      </c>
    </row>
    <row r="1122" spans="1:14">
      <c r="A1122">
        <v>5</v>
      </c>
      <c r="B1122" s="16" t="s">
        <v>651</v>
      </c>
      <c r="C1122" s="2"/>
      <c r="D1122" s="3" t="s">
        <v>652</v>
      </c>
      <c r="E1122" s="14" t="s">
        <v>31</v>
      </c>
      <c r="F1122" s="3"/>
      <c r="G1122" s="36"/>
      <c r="H1122" s="36"/>
      <c r="I1122" s="36"/>
      <c r="J1122" s="36"/>
      <c r="K1122" s="31"/>
      <c r="L1122" s="7" t="s">
        <v>653</v>
      </c>
    </row>
    <row r="1123" spans="1:14">
      <c r="A1123">
        <v>6</v>
      </c>
      <c r="B1123" s="16" t="s">
        <v>654</v>
      </c>
      <c r="C1123" s="2"/>
      <c r="D1123" s="3" t="s">
        <v>655</v>
      </c>
      <c r="E1123" s="14" t="s">
        <v>31</v>
      </c>
      <c r="F1123" s="3"/>
      <c r="G1123" s="36"/>
      <c r="H1123" s="36"/>
      <c r="I1123" s="36"/>
      <c r="J1123" s="36"/>
      <c r="K1123" s="31"/>
      <c r="L1123" s="7" t="s">
        <v>656</v>
      </c>
    </row>
    <row r="1124" spans="1:14">
      <c r="A1124">
        <v>7</v>
      </c>
      <c r="B1124" s="16" t="s">
        <v>657</v>
      </c>
      <c r="C1124" s="2"/>
      <c r="D1124" s="3" t="s">
        <v>658</v>
      </c>
      <c r="E1124" s="14" t="s">
        <v>649</v>
      </c>
      <c r="F1124" s="3"/>
      <c r="G1124" s="36"/>
      <c r="H1124" s="36" t="s">
        <v>416</v>
      </c>
      <c r="I1124" s="36"/>
      <c r="J1124" s="36"/>
      <c r="K1124" s="31"/>
      <c r="L1124" s="7" t="s">
        <v>659</v>
      </c>
    </row>
    <row r="1125" spans="1:14">
      <c r="A1125">
        <v>8</v>
      </c>
      <c r="B1125" s="16" t="s">
        <v>660</v>
      </c>
      <c r="C1125" s="2"/>
      <c r="D1125" s="3" t="s">
        <v>661</v>
      </c>
      <c r="E1125" s="14" t="s">
        <v>662</v>
      </c>
      <c r="F1125" s="3"/>
      <c r="G1125" s="36"/>
      <c r="H1125" s="36"/>
      <c r="I1125" s="36"/>
      <c r="J1125" s="36"/>
      <c r="K1125" s="31"/>
      <c r="L1125" s="7" t="s">
        <v>663</v>
      </c>
    </row>
    <row r="1126" spans="1:14">
      <c r="A1126">
        <v>9</v>
      </c>
      <c r="B1126" s="16" t="s">
        <v>332</v>
      </c>
      <c r="C1126" s="2"/>
      <c r="D1126" s="3" t="s">
        <v>333</v>
      </c>
      <c r="E1126" s="14" t="s">
        <v>664</v>
      </c>
      <c r="F1126" s="3"/>
      <c r="G1126" s="36"/>
      <c r="H1126" s="36"/>
      <c r="I1126" s="36"/>
      <c r="J1126" s="36"/>
      <c r="K1126" s="31"/>
      <c r="L1126" s="7" t="s">
        <v>665</v>
      </c>
    </row>
    <row r="1127" spans="1:14">
      <c r="A1127">
        <v>10</v>
      </c>
      <c r="B1127" s="16" t="s">
        <v>666</v>
      </c>
      <c r="C1127" s="2"/>
      <c r="D1127" s="3" t="s">
        <v>667</v>
      </c>
      <c r="E1127" s="14" t="s">
        <v>668</v>
      </c>
      <c r="F1127" s="3"/>
      <c r="G1127" s="36"/>
      <c r="H1127" s="36" t="s">
        <v>416</v>
      </c>
      <c r="I1127" s="36"/>
      <c r="J1127" s="36"/>
      <c r="K1127" s="31"/>
      <c r="L1127" s="7" t="s">
        <v>669</v>
      </c>
    </row>
    <row r="1128" spans="1:14">
      <c r="A1128">
        <v>11</v>
      </c>
      <c r="B1128" s="16" t="s">
        <v>670</v>
      </c>
      <c r="C1128" s="2"/>
      <c r="D1128" s="3" t="s">
        <v>671</v>
      </c>
      <c r="E1128" s="14" t="s">
        <v>29</v>
      </c>
      <c r="F1128" s="3"/>
      <c r="G1128" s="36" t="s">
        <v>416</v>
      </c>
      <c r="H1128" s="36"/>
      <c r="I1128" s="36"/>
      <c r="J1128" s="36"/>
      <c r="K1128" s="31" t="s">
        <v>672</v>
      </c>
      <c r="L1128" s="7"/>
    </row>
    <row r="1129" spans="1:14">
      <c r="A1129">
        <v>12</v>
      </c>
      <c r="B1129" s="16" t="s">
        <v>673</v>
      </c>
      <c r="C1129" s="2"/>
      <c r="D1129" s="3" t="s">
        <v>674</v>
      </c>
      <c r="E1129" s="14" t="s">
        <v>36</v>
      </c>
      <c r="F1129" s="3"/>
      <c r="G1129" s="36"/>
      <c r="H1129" s="36" t="s">
        <v>416</v>
      </c>
      <c r="I1129" s="36"/>
      <c r="J1129" s="36"/>
      <c r="K1129" s="31"/>
      <c r="L1129" s="7" t="s">
        <v>675</v>
      </c>
    </row>
    <row r="1130" spans="1:14">
      <c r="A1130">
        <v>13</v>
      </c>
      <c r="B1130" s="16" t="s">
        <v>57</v>
      </c>
      <c r="C1130" s="2"/>
      <c r="D1130" s="3" t="s">
        <v>56</v>
      </c>
      <c r="E1130" s="14" t="s">
        <v>42</v>
      </c>
      <c r="F1130" s="3"/>
      <c r="G1130" s="36"/>
      <c r="H1130" s="36" t="s">
        <v>416</v>
      </c>
      <c r="I1130" s="36"/>
      <c r="J1130" s="36" t="b">
        <v>1</v>
      </c>
      <c r="K1130" s="31"/>
      <c r="L1130" s="7"/>
    </row>
    <row r="1131" spans="1:14">
      <c r="A1131">
        <v>14</v>
      </c>
      <c r="B1131" s="16" t="s">
        <v>34</v>
      </c>
      <c r="C1131" s="2"/>
      <c r="D1131" s="3" t="s">
        <v>35</v>
      </c>
      <c r="E1131" s="14" t="s">
        <v>36</v>
      </c>
      <c r="F1131" s="36"/>
      <c r="G1131" s="36"/>
      <c r="H1131" s="36" t="s">
        <v>416</v>
      </c>
      <c r="I1131" s="36"/>
      <c r="J1131" s="30" t="s">
        <v>37</v>
      </c>
      <c r="K1131" s="3"/>
      <c r="L1131" s="7"/>
    </row>
    <row r="1132" spans="1:14" ht="19.5" thickBot="1">
      <c r="A1132">
        <v>15</v>
      </c>
      <c r="B1132" s="17" t="s">
        <v>38</v>
      </c>
      <c r="C1132" s="18"/>
      <c r="D1132" s="8" t="s">
        <v>39</v>
      </c>
      <c r="E1132" s="15" t="s">
        <v>36</v>
      </c>
      <c r="F1132" s="37"/>
      <c r="G1132" s="37"/>
      <c r="H1132" s="37"/>
      <c r="I1132" s="37"/>
      <c r="J1132" s="38" t="s">
        <v>37</v>
      </c>
      <c r="K1132" s="8"/>
      <c r="L1132" s="9" t="s">
        <v>50</v>
      </c>
    </row>
    <row r="1133" spans="1:14" ht="19.5" thickTop="1">
      <c r="J1133" s="43"/>
    </row>
    <row r="1134" spans="1:14">
      <c r="B1134" t="str">
        <f>HYPERLINK("#'テーブル設計'!B2","テーブル一覧")</f>
        <v>テーブル一覧</v>
      </c>
    </row>
    <row r="1135" spans="1:14" ht="19.5" thickBot="1"/>
    <row r="1136" spans="1:14" ht="19.5" thickTop="1">
      <c r="B1136" s="19" t="s">
        <v>21</v>
      </c>
      <c r="C1136" s="4"/>
      <c r="D1136" s="5" t="s">
        <v>619</v>
      </c>
      <c r="E1136" s="6"/>
      <c r="F1136" s="24" t="s">
        <v>616</v>
      </c>
      <c r="M1136" t="str">
        <f>+D1136</f>
        <v>rule_evaluations</v>
      </c>
      <c r="N1136">
        <v>1134</v>
      </c>
    </row>
    <row r="1137" spans="2:6" ht="19.5" thickBot="1">
      <c r="B1137" s="17" t="s">
        <v>22</v>
      </c>
      <c r="C1137" s="15"/>
      <c r="D1137" s="21" t="s">
        <v>620</v>
      </c>
      <c r="E1137" s="20"/>
      <c r="F1137"/>
    </row>
    <row r="1138" spans="2:6" ht="19.5" thickTop="1"/>
    <row r="1139" spans="2:6">
      <c r="B1139" s="1" t="s">
        <v>23</v>
      </c>
      <c r="C1139" s="14"/>
    </row>
    <row r="1144" spans="2:6">
      <c r="B1144" s="1" t="s">
        <v>24</v>
      </c>
      <c r="C1144" s="14"/>
    </row>
    <row r="1145" spans="2:6">
      <c r="C1145" t="s">
        <v>25</v>
      </c>
    </row>
    <row r="1147" spans="2:6">
      <c r="B1147" s="1" t="s">
        <v>26</v>
      </c>
      <c r="C1147" s="14"/>
    </row>
    <row r="1148" spans="2:6">
      <c r="C1148" s="10"/>
    </row>
    <row r="1153" spans="1:17">
      <c r="B1153" s="1" t="s">
        <v>49</v>
      </c>
      <c r="C1153" s="14"/>
    </row>
    <row r="1154" spans="1:17">
      <c r="C1154" s="24" t="s">
        <v>699</v>
      </c>
    </row>
    <row r="1155" spans="1:17">
      <c r="C1155" s="24" t="s">
        <v>796</v>
      </c>
    </row>
    <row r="1156" spans="1:17">
      <c r="C1156" s="24" t="s">
        <v>798</v>
      </c>
    </row>
    <row r="1157" spans="1:17">
      <c r="C1157" s="24" t="s">
        <v>802</v>
      </c>
    </row>
    <row r="1158" spans="1:17">
      <c r="C1158" s="24" t="s">
        <v>797</v>
      </c>
    </row>
    <row r="1162" spans="1:17" ht="19.5" thickBot="1"/>
    <row r="1163" spans="1:17" ht="19.5" thickTop="1">
      <c r="B1163" s="94" t="s">
        <v>2</v>
      </c>
      <c r="C1163" s="95"/>
      <c r="D1163" s="11" t="s">
        <v>3</v>
      </c>
      <c r="E1163" s="13" t="s">
        <v>4</v>
      </c>
      <c r="F1163" s="35" t="s">
        <v>5</v>
      </c>
      <c r="G1163" s="35" t="s">
        <v>7</v>
      </c>
      <c r="H1163" s="35" t="s">
        <v>27</v>
      </c>
      <c r="I1163" s="35" t="s">
        <v>47</v>
      </c>
      <c r="J1163" s="11" t="s">
        <v>14</v>
      </c>
      <c r="K1163" s="11" t="s">
        <v>15</v>
      </c>
      <c r="L1163" s="12" t="s">
        <v>17</v>
      </c>
      <c r="P1163" s="29"/>
      <c r="Q1163" s="28"/>
    </row>
    <row r="1164" spans="1:17">
      <c r="A1164">
        <v>1</v>
      </c>
      <c r="B1164" s="16" t="s">
        <v>25</v>
      </c>
      <c r="C1164" s="2"/>
      <c r="D1164" s="3" t="s">
        <v>676</v>
      </c>
      <c r="E1164" s="14" t="s">
        <v>29</v>
      </c>
      <c r="F1164" s="3" t="s">
        <v>405</v>
      </c>
      <c r="G1164" s="36"/>
      <c r="H1164" s="36" t="s">
        <v>405</v>
      </c>
      <c r="I1164" s="36"/>
      <c r="J1164" s="36"/>
      <c r="K1164" s="31"/>
      <c r="L1164" s="7" t="s">
        <v>644</v>
      </c>
    </row>
    <row r="1165" spans="1:17">
      <c r="A1165">
        <v>2</v>
      </c>
      <c r="B1165" s="16" t="s">
        <v>119</v>
      </c>
      <c r="C1165" s="2"/>
      <c r="D1165" s="3" t="s">
        <v>100</v>
      </c>
      <c r="E1165" s="14" t="s">
        <v>29</v>
      </c>
      <c r="F1165" s="3"/>
      <c r="G1165" s="36" t="s">
        <v>405</v>
      </c>
      <c r="H1165" s="36" t="s">
        <v>405</v>
      </c>
      <c r="I1165" s="36"/>
      <c r="J1165" s="36"/>
      <c r="K1165" s="31" t="s">
        <v>378</v>
      </c>
      <c r="L1165" s="7" t="s">
        <v>677</v>
      </c>
    </row>
    <row r="1166" spans="1:17">
      <c r="A1166">
        <v>3</v>
      </c>
      <c r="B1166" s="16" t="s">
        <v>342</v>
      </c>
      <c r="C1166" s="2"/>
      <c r="D1166" s="3" t="s">
        <v>367</v>
      </c>
      <c r="E1166" s="14" t="s">
        <v>29</v>
      </c>
      <c r="F1166" s="3"/>
      <c r="G1166" s="36" t="s">
        <v>405</v>
      </c>
      <c r="H1166" s="36" t="s">
        <v>405</v>
      </c>
      <c r="I1166" s="36"/>
      <c r="J1166" s="36"/>
      <c r="K1166" s="31" t="s">
        <v>382</v>
      </c>
      <c r="L1166" s="7" t="s">
        <v>678</v>
      </c>
    </row>
    <row r="1167" spans="1:17">
      <c r="A1167">
        <v>4</v>
      </c>
      <c r="B1167" s="16" t="s">
        <v>547</v>
      </c>
      <c r="C1167" s="2"/>
      <c r="D1167" s="3" t="s">
        <v>679</v>
      </c>
      <c r="E1167" s="14" t="s">
        <v>649</v>
      </c>
      <c r="F1167" s="3"/>
      <c r="G1167" s="36"/>
      <c r="H1167" s="36" t="s">
        <v>405</v>
      </c>
      <c r="I1167" s="36"/>
      <c r="J1167" s="36"/>
      <c r="K1167" s="31"/>
      <c r="L1167" s="40" t="s">
        <v>803</v>
      </c>
    </row>
    <row r="1168" spans="1:17">
      <c r="A1168">
        <v>5</v>
      </c>
      <c r="B1168" s="16" t="s">
        <v>632</v>
      </c>
      <c r="C1168" s="2"/>
      <c r="D1168" s="3" t="s">
        <v>633</v>
      </c>
      <c r="E1168" s="14" t="s">
        <v>29</v>
      </c>
      <c r="F1168" s="3"/>
      <c r="G1168" s="36"/>
      <c r="H1168" s="36"/>
      <c r="I1168" s="36"/>
      <c r="J1168" s="36"/>
      <c r="K1168" s="31"/>
      <c r="L1168" s="7"/>
    </row>
    <row r="1169" spans="1:14">
      <c r="A1169">
        <v>6</v>
      </c>
      <c r="B1169" s="16" t="s">
        <v>634</v>
      </c>
      <c r="C1169" s="2"/>
      <c r="D1169" s="3" t="s">
        <v>422</v>
      </c>
      <c r="E1169" s="14" t="s">
        <v>29</v>
      </c>
      <c r="F1169" s="3"/>
      <c r="G1169" s="36" t="s">
        <v>405</v>
      </c>
      <c r="H1169" s="36" t="s">
        <v>405</v>
      </c>
      <c r="I1169" s="36"/>
      <c r="J1169" s="36"/>
      <c r="K1169" s="31" t="s">
        <v>680</v>
      </c>
      <c r="L1169" s="7" t="s">
        <v>681</v>
      </c>
    </row>
    <row r="1170" spans="1:14">
      <c r="A1170">
        <v>7</v>
      </c>
      <c r="B1170" s="16" t="s">
        <v>682</v>
      </c>
      <c r="C1170" s="2"/>
      <c r="D1170" s="3" t="s">
        <v>683</v>
      </c>
      <c r="E1170" s="14" t="s">
        <v>668</v>
      </c>
      <c r="F1170" s="3"/>
      <c r="G1170" s="36"/>
      <c r="H1170" s="36" t="s">
        <v>405</v>
      </c>
      <c r="I1170" s="36"/>
      <c r="J1170" s="36"/>
      <c r="K1170" s="31"/>
      <c r="L1170" s="7" t="s">
        <v>684</v>
      </c>
    </row>
    <row r="1171" spans="1:14">
      <c r="A1171">
        <v>8</v>
      </c>
      <c r="B1171" s="16" t="s">
        <v>685</v>
      </c>
      <c r="C1171" s="2"/>
      <c r="D1171" s="3" t="s">
        <v>686</v>
      </c>
      <c r="E1171" s="27" t="s">
        <v>698</v>
      </c>
      <c r="F1171" s="3"/>
      <c r="G1171" s="36"/>
      <c r="H1171" s="36" t="s">
        <v>405</v>
      </c>
      <c r="I1171" s="36"/>
      <c r="J1171" s="36"/>
      <c r="K1171" s="31"/>
      <c r="L1171" s="7" t="s">
        <v>687</v>
      </c>
    </row>
    <row r="1172" spans="1:14">
      <c r="A1172">
        <v>9</v>
      </c>
      <c r="B1172" s="16" t="s">
        <v>639</v>
      </c>
      <c r="C1172" s="2"/>
      <c r="D1172" s="3" t="s">
        <v>640</v>
      </c>
      <c r="E1172" s="14" t="s">
        <v>31</v>
      </c>
      <c r="F1172" s="3"/>
      <c r="G1172" s="36"/>
      <c r="H1172" s="36"/>
      <c r="I1172" s="36"/>
      <c r="J1172" s="36"/>
      <c r="K1172" s="31"/>
      <c r="L1172" s="7" t="s">
        <v>688</v>
      </c>
    </row>
    <row r="1173" spans="1:14">
      <c r="A1173">
        <v>10</v>
      </c>
      <c r="B1173" s="16" t="s">
        <v>689</v>
      </c>
      <c r="C1173" s="2"/>
      <c r="D1173" s="3" t="s">
        <v>690</v>
      </c>
      <c r="E1173" s="14" t="s">
        <v>29</v>
      </c>
      <c r="F1173" s="3"/>
      <c r="G1173" s="36" t="s">
        <v>405</v>
      </c>
      <c r="H1173" s="36"/>
      <c r="I1173" s="36"/>
      <c r="J1173" s="36"/>
      <c r="K1173" s="31" t="s">
        <v>691</v>
      </c>
      <c r="L1173" s="7" t="s">
        <v>692</v>
      </c>
    </row>
    <row r="1174" spans="1:14">
      <c r="A1174">
        <v>11</v>
      </c>
      <c r="B1174" s="16" t="s">
        <v>694</v>
      </c>
      <c r="C1174" s="2"/>
      <c r="D1174" s="3" t="s">
        <v>695</v>
      </c>
      <c r="E1174" s="14" t="s">
        <v>36</v>
      </c>
      <c r="F1174" s="3"/>
      <c r="G1174" s="36"/>
      <c r="H1174" s="36" t="s">
        <v>405</v>
      </c>
      <c r="I1174" s="36"/>
      <c r="J1174" s="36"/>
      <c r="K1174" s="31"/>
      <c r="L1174" s="7" t="s">
        <v>696</v>
      </c>
    </row>
    <row r="1175" spans="1:14">
      <c r="A1175">
        <v>12</v>
      </c>
      <c r="B1175" s="16" t="s">
        <v>57</v>
      </c>
      <c r="C1175" s="2"/>
      <c r="D1175" s="3" t="s">
        <v>56</v>
      </c>
      <c r="E1175" s="14" t="s">
        <v>42</v>
      </c>
      <c r="F1175" s="3"/>
      <c r="G1175" s="36"/>
      <c r="H1175" s="36" t="s">
        <v>405</v>
      </c>
      <c r="I1175" s="36"/>
      <c r="J1175" s="36" t="b">
        <v>1</v>
      </c>
      <c r="K1175" s="31"/>
      <c r="L1175" s="7" t="s">
        <v>697</v>
      </c>
    </row>
    <row r="1176" spans="1:14">
      <c r="A1176">
        <v>13</v>
      </c>
      <c r="B1176" s="16" t="s">
        <v>34</v>
      </c>
      <c r="C1176" s="2"/>
      <c r="D1176" s="3" t="s">
        <v>35</v>
      </c>
      <c r="E1176" s="14" t="s">
        <v>36</v>
      </c>
      <c r="F1176" s="36"/>
      <c r="G1176" s="36"/>
      <c r="H1176" s="36" t="s">
        <v>405</v>
      </c>
      <c r="I1176" s="36"/>
      <c r="J1176" s="30" t="s">
        <v>37</v>
      </c>
      <c r="K1176" s="3"/>
      <c r="L1176" s="7"/>
    </row>
    <row r="1177" spans="1:14" ht="19.5" thickBot="1">
      <c r="A1177">
        <v>14</v>
      </c>
      <c r="B1177" s="17" t="s">
        <v>38</v>
      </c>
      <c r="C1177" s="18"/>
      <c r="D1177" s="8" t="s">
        <v>39</v>
      </c>
      <c r="E1177" s="15" t="s">
        <v>36</v>
      </c>
      <c r="F1177" s="37"/>
      <c r="G1177" s="37"/>
      <c r="H1177" s="37" t="s">
        <v>405</v>
      </c>
      <c r="I1177" s="37"/>
      <c r="J1177" s="38" t="s">
        <v>37</v>
      </c>
      <c r="K1177" s="8"/>
      <c r="L1177" s="9" t="s">
        <v>50</v>
      </c>
    </row>
    <row r="1178" spans="1:14" ht="19.5" thickTop="1">
      <c r="J1178" s="43"/>
    </row>
    <row r="1179" spans="1:14">
      <c r="B1179" t="str">
        <f>HYPERLINK("#'テーブル設計'!B2","テーブル一覧")</f>
        <v>テーブル一覧</v>
      </c>
    </row>
    <row r="1180" spans="1:14" ht="19.5" thickBot="1"/>
    <row r="1181" spans="1:14" ht="19.5" thickTop="1">
      <c r="B1181" s="19" t="s">
        <v>21</v>
      </c>
      <c r="C1181" s="4"/>
      <c r="D1181" s="5" t="s">
        <v>289</v>
      </c>
      <c r="E1181" s="6"/>
      <c r="F1181" s="24" t="s">
        <v>621</v>
      </c>
      <c r="M1181" t="str">
        <f>+D1181</f>
        <v>human_reviews</v>
      </c>
      <c r="N1181">
        <v>1179</v>
      </c>
    </row>
    <row r="1182" spans="1:14" ht="19.5" thickBot="1">
      <c r="B1182" s="17" t="s">
        <v>22</v>
      </c>
      <c r="C1182" s="15"/>
      <c r="D1182" s="21" t="s">
        <v>375</v>
      </c>
      <c r="E1182" s="20"/>
    </row>
    <row r="1183" spans="1:14" ht="19.5" thickTop="1"/>
    <row r="1184" spans="1:14">
      <c r="B1184" s="1" t="s">
        <v>23</v>
      </c>
      <c r="C1184" s="14"/>
    </row>
    <row r="1185" spans="2:4">
      <c r="C1185" t="s">
        <v>729</v>
      </c>
    </row>
    <row r="1189" spans="2:4">
      <c r="B1189" s="1" t="s">
        <v>24</v>
      </c>
      <c r="C1189" s="14"/>
    </row>
    <row r="1190" spans="2:4">
      <c r="C1190" t="s">
        <v>25</v>
      </c>
    </row>
    <row r="1192" spans="2:4">
      <c r="B1192" s="1" t="s">
        <v>26</v>
      </c>
      <c r="C1192" s="14"/>
    </row>
    <row r="1193" spans="2:4">
      <c r="C1193" s="10"/>
    </row>
    <row r="1198" spans="2:4">
      <c r="B1198" s="1" t="s">
        <v>49</v>
      </c>
      <c r="C1198" s="14"/>
    </row>
    <row r="1199" spans="2:4">
      <c r="C1199" s="24" t="s">
        <v>725</v>
      </c>
    </row>
    <row r="1200" spans="2:4">
      <c r="D1200" t="s">
        <v>726</v>
      </c>
    </row>
    <row r="1201" spans="1:17">
      <c r="D1201" t="s">
        <v>727</v>
      </c>
    </row>
    <row r="1202" spans="1:17">
      <c r="C1202" t="s">
        <v>728</v>
      </c>
    </row>
    <row r="1203" spans="1:17">
      <c r="C1203" t="s">
        <v>732</v>
      </c>
    </row>
    <row r="1204" spans="1:17">
      <c r="C1204" t="s">
        <v>733</v>
      </c>
    </row>
    <row r="1206" spans="1:17" ht="19.5" thickBot="1"/>
    <row r="1207" spans="1:17" ht="19.5" thickTop="1">
      <c r="B1207" s="94" t="s">
        <v>2</v>
      </c>
      <c r="C1207" s="95"/>
      <c r="D1207" s="11" t="s">
        <v>3</v>
      </c>
      <c r="E1207" s="13" t="s">
        <v>4</v>
      </c>
      <c r="F1207" s="35" t="s">
        <v>5</v>
      </c>
      <c r="G1207" s="35" t="s">
        <v>7</v>
      </c>
      <c r="H1207" s="35" t="s">
        <v>27</v>
      </c>
      <c r="I1207" s="35" t="s">
        <v>47</v>
      </c>
      <c r="J1207" s="11" t="s">
        <v>14</v>
      </c>
      <c r="K1207" s="11" t="s">
        <v>15</v>
      </c>
      <c r="L1207" s="12" t="s">
        <v>17</v>
      </c>
      <c r="P1207" s="29"/>
      <c r="Q1207" s="28"/>
    </row>
    <row r="1208" spans="1:17">
      <c r="A1208">
        <v>1</v>
      </c>
      <c r="B1208" s="16" t="s">
        <v>25</v>
      </c>
      <c r="C1208" s="2"/>
      <c r="D1208" s="3" t="s">
        <v>384</v>
      </c>
      <c r="E1208" s="14" t="s">
        <v>29</v>
      </c>
      <c r="F1208" s="3" t="s">
        <v>405</v>
      </c>
      <c r="G1208" s="36"/>
      <c r="H1208" s="36" t="s">
        <v>405</v>
      </c>
      <c r="I1208" s="36"/>
      <c r="J1208" s="36"/>
      <c r="K1208" s="31"/>
      <c r="L1208" s="7"/>
    </row>
    <row r="1209" spans="1:17">
      <c r="A1209">
        <v>2</v>
      </c>
      <c r="B1209" s="16" t="s">
        <v>119</v>
      </c>
      <c r="C1209" s="2"/>
      <c r="D1209" s="3" t="s">
        <v>100</v>
      </c>
      <c r="E1209" s="14" t="s">
        <v>29</v>
      </c>
      <c r="F1209" s="3"/>
      <c r="G1209" s="64" t="s">
        <v>405</v>
      </c>
      <c r="H1209" s="64" t="s">
        <v>405</v>
      </c>
      <c r="I1209" s="36"/>
      <c r="J1209" s="36"/>
      <c r="K1209" s="31" t="s">
        <v>378</v>
      </c>
      <c r="L1209" s="66" t="s">
        <v>701</v>
      </c>
    </row>
    <row r="1210" spans="1:17">
      <c r="A1210">
        <v>3</v>
      </c>
      <c r="B1210" s="16" t="s">
        <v>342</v>
      </c>
      <c r="C1210" s="2"/>
      <c r="D1210" s="25" t="s">
        <v>367</v>
      </c>
      <c r="E1210" s="14" t="s">
        <v>29</v>
      </c>
      <c r="F1210" s="3"/>
      <c r="G1210" s="64" t="s">
        <v>405</v>
      </c>
      <c r="H1210" s="64" t="s">
        <v>405</v>
      </c>
      <c r="I1210" s="36"/>
      <c r="J1210" s="36"/>
      <c r="K1210" s="31" t="s">
        <v>382</v>
      </c>
      <c r="L1210" s="66" t="s">
        <v>702</v>
      </c>
    </row>
    <row r="1211" spans="1:17">
      <c r="A1211">
        <v>4</v>
      </c>
      <c r="B1211" s="16" t="s">
        <v>700</v>
      </c>
      <c r="C1211" s="2"/>
      <c r="D1211" s="25" t="s">
        <v>643</v>
      </c>
      <c r="E1211" s="3" t="s">
        <v>29</v>
      </c>
      <c r="F1211" s="3"/>
      <c r="G1211" s="64" t="s">
        <v>405</v>
      </c>
      <c r="H1211" s="36"/>
      <c r="I1211" s="36"/>
      <c r="J1211" s="36"/>
      <c r="K1211" s="31" t="s">
        <v>672</v>
      </c>
      <c r="L1211" s="66" t="s">
        <v>703</v>
      </c>
    </row>
    <row r="1212" spans="1:17">
      <c r="A1212">
        <v>5</v>
      </c>
      <c r="B1212" s="16" t="s">
        <v>704</v>
      </c>
      <c r="C1212" s="2"/>
      <c r="D1212" s="25" t="s">
        <v>705</v>
      </c>
      <c r="E1212" s="3" t="s">
        <v>29</v>
      </c>
      <c r="F1212" s="3"/>
      <c r="G1212" s="64" t="s">
        <v>405</v>
      </c>
      <c r="H1212" s="36"/>
      <c r="I1212" s="36"/>
      <c r="J1212" s="36"/>
      <c r="K1212" s="31" t="s">
        <v>691</v>
      </c>
      <c r="L1212" s="66" t="s">
        <v>706</v>
      </c>
    </row>
    <row r="1213" spans="1:17">
      <c r="A1213">
        <v>6</v>
      </c>
      <c r="B1213" s="16" t="s">
        <v>360</v>
      </c>
      <c r="C1213" s="2"/>
      <c r="D1213" s="25" t="s">
        <v>373</v>
      </c>
      <c r="E1213" s="3" t="s">
        <v>649</v>
      </c>
      <c r="F1213" s="3"/>
      <c r="G1213" s="64"/>
      <c r="H1213" s="36" t="s">
        <v>405</v>
      </c>
      <c r="I1213" s="36"/>
      <c r="J1213" s="36"/>
      <c r="K1213" s="31"/>
      <c r="L1213" s="66" t="s">
        <v>707</v>
      </c>
    </row>
    <row r="1214" spans="1:17">
      <c r="A1214">
        <v>7</v>
      </c>
      <c r="B1214" s="16" t="s">
        <v>334</v>
      </c>
      <c r="C1214" s="2"/>
      <c r="D1214" s="25" t="s">
        <v>335</v>
      </c>
      <c r="E1214" s="3" t="s">
        <v>668</v>
      </c>
      <c r="F1214" s="3"/>
      <c r="G1214" s="64"/>
      <c r="H1214" s="36" t="s">
        <v>405</v>
      </c>
      <c r="I1214" s="36"/>
      <c r="J1214" s="36"/>
      <c r="K1214" s="31"/>
      <c r="L1214" s="66" t="s">
        <v>708</v>
      </c>
    </row>
    <row r="1215" spans="1:17">
      <c r="A1215">
        <v>8</v>
      </c>
      <c r="B1215" s="16" t="s">
        <v>358</v>
      </c>
      <c r="C1215" s="2"/>
      <c r="D1215" s="3" t="s">
        <v>709</v>
      </c>
      <c r="E1215" s="3" t="s">
        <v>31</v>
      </c>
      <c r="F1215" s="3"/>
      <c r="G1215" s="64"/>
      <c r="H1215" s="36"/>
      <c r="I1215" s="64"/>
      <c r="J1215" s="36"/>
      <c r="K1215" s="31"/>
      <c r="L1215" s="66" t="s">
        <v>710</v>
      </c>
    </row>
    <row r="1216" spans="1:17">
      <c r="A1216">
        <v>9</v>
      </c>
      <c r="B1216" s="16" t="s">
        <v>359</v>
      </c>
      <c r="C1216" s="2"/>
      <c r="D1216" s="3" t="s">
        <v>711</v>
      </c>
      <c r="E1216" s="3" t="s">
        <v>31</v>
      </c>
      <c r="F1216" s="3"/>
      <c r="G1216" s="64"/>
      <c r="H1216" s="36"/>
      <c r="I1216" s="64"/>
      <c r="J1216" s="36"/>
      <c r="K1216" s="31"/>
      <c r="L1216" s="80" t="s">
        <v>712</v>
      </c>
    </row>
    <row r="1217" spans="1:14">
      <c r="A1217">
        <v>10</v>
      </c>
      <c r="B1217" s="16" t="s">
        <v>713</v>
      </c>
      <c r="C1217" s="2"/>
      <c r="D1217" s="41" t="s">
        <v>714</v>
      </c>
      <c r="E1217" s="3" t="s">
        <v>31</v>
      </c>
      <c r="F1217" s="3"/>
      <c r="G1217" s="64"/>
      <c r="H1217" s="36"/>
      <c r="I1217" s="64"/>
      <c r="J1217" s="36"/>
      <c r="K1217" s="31"/>
      <c r="L1217" s="66" t="s">
        <v>715</v>
      </c>
    </row>
    <row r="1218" spans="1:14">
      <c r="A1218">
        <v>11</v>
      </c>
      <c r="B1218" s="16" t="s">
        <v>716</v>
      </c>
      <c r="C1218" s="2"/>
      <c r="D1218" s="41" t="s">
        <v>717</v>
      </c>
      <c r="E1218" s="3" t="s">
        <v>31</v>
      </c>
      <c r="F1218" s="3"/>
      <c r="G1218" s="64"/>
      <c r="H1218" s="36"/>
      <c r="I1218" s="64"/>
      <c r="J1218" s="36"/>
      <c r="K1218" s="31"/>
      <c r="L1218" s="66" t="s">
        <v>718</v>
      </c>
    </row>
    <row r="1219" spans="1:14">
      <c r="A1219">
        <v>12</v>
      </c>
      <c r="B1219" s="16" t="s">
        <v>719</v>
      </c>
      <c r="C1219" s="2"/>
      <c r="D1219" s="3" t="s">
        <v>720</v>
      </c>
      <c r="E1219" s="3" t="s">
        <v>730</v>
      </c>
      <c r="F1219" s="3"/>
      <c r="G1219" s="36"/>
      <c r="H1219" s="36"/>
      <c r="I1219" s="36"/>
      <c r="J1219" s="36"/>
      <c r="K1219" s="31"/>
      <c r="L1219" s="80" t="s">
        <v>731</v>
      </c>
    </row>
    <row r="1220" spans="1:14">
      <c r="A1220">
        <v>13</v>
      </c>
      <c r="B1220" s="16" t="s">
        <v>336</v>
      </c>
      <c r="C1220" s="2"/>
      <c r="D1220" s="3" t="s">
        <v>337</v>
      </c>
      <c r="E1220" s="3" t="s">
        <v>36</v>
      </c>
      <c r="F1220" s="3"/>
      <c r="G1220" s="36"/>
      <c r="H1220" s="36"/>
      <c r="I1220" s="36"/>
      <c r="J1220" s="36"/>
      <c r="K1220" s="31"/>
      <c r="L1220" s="66" t="s">
        <v>721</v>
      </c>
    </row>
    <row r="1221" spans="1:14">
      <c r="A1221">
        <v>14</v>
      </c>
      <c r="B1221" s="16" t="s">
        <v>722</v>
      </c>
      <c r="C1221" s="2"/>
      <c r="D1221" s="3" t="s">
        <v>723</v>
      </c>
      <c r="E1221" s="3" t="s">
        <v>29</v>
      </c>
      <c r="F1221" s="3"/>
      <c r="G1221" s="36" t="s">
        <v>405</v>
      </c>
      <c r="H1221" s="36"/>
      <c r="I1221" s="36"/>
      <c r="J1221" s="36"/>
      <c r="K1221" s="31" t="s">
        <v>693</v>
      </c>
      <c r="L1221" s="66" t="s">
        <v>724</v>
      </c>
    </row>
    <row r="1222" spans="1:14">
      <c r="A1222">
        <v>15</v>
      </c>
      <c r="B1222" s="73" t="s">
        <v>57</v>
      </c>
      <c r="C1222" s="10"/>
      <c r="D1222" s="74" t="s">
        <v>56</v>
      </c>
      <c r="E1222" s="3" t="s">
        <v>42</v>
      </c>
      <c r="F1222" s="69"/>
      <c r="G1222" s="70"/>
      <c r="H1222" s="70" t="s">
        <v>405</v>
      </c>
      <c r="I1222" s="70"/>
      <c r="J1222" s="70" t="b">
        <v>1</v>
      </c>
      <c r="K1222" s="71"/>
      <c r="L1222" s="72"/>
    </row>
    <row r="1223" spans="1:14">
      <c r="A1223">
        <v>16</v>
      </c>
      <c r="B1223" s="68" t="s">
        <v>34</v>
      </c>
      <c r="C1223" s="10"/>
      <c r="D1223" s="69" t="s">
        <v>35</v>
      </c>
      <c r="E1223" s="69" t="s">
        <v>36</v>
      </c>
      <c r="F1223" s="69"/>
      <c r="G1223" s="70"/>
      <c r="H1223" s="70" t="s">
        <v>405</v>
      </c>
      <c r="I1223" s="70"/>
      <c r="J1223" s="70"/>
      <c r="K1223" s="71"/>
      <c r="L1223" s="72"/>
    </row>
    <row r="1224" spans="1:14" ht="19.5" thickBot="1">
      <c r="A1224">
        <v>17</v>
      </c>
      <c r="B1224" s="17" t="s">
        <v>38</v>
      </c>
      <c r="C1224" s="18"/>
      <c r="D1224" s="8" t="s">
        <v>39</v>
      </c>
      <c r="E1224" s="15" t="s">
        <v>36</v>
      </c>
      <c r="F1224" s="8"/>
      <c r="G1224" s="37"/>
      <c r="H1224" s="37" t="s">
        <v>405</v>
      </c>
      <c r="I1224" s="37"/>
      <c r="J1224" s="37"/>
      <c r="K1224" s="38"/>
      <c r="L1224" s="20"/>
    </row>
    <row r="1225" spans="1:14" ht="19.5" thickTop="1">
      <c r="F1225"/>
      <c r="J1225" s="33"/>
      <c r="K1225" s="43"/>
    </row>
    <row r="1226" spans="1:14">
      <c r="B1226" t="str">
        <f>HYPERLINK("#'テーブル設計'!B2","テーブル一覧")</f>
        <v>テーブル一覧</v>
      </c>
    </row>
    <row r="1227" spans="1:14" ht="19.5" thickBot="1"/>
    <row r="1228" spans="1:14" ht="19.5" thickTop="1">
      <c r="B1228" s="19" t="s">
        <v>21</v>
      </c>
      <c r="C1228" s="4"/>
      <c r="D1228" s="5" t="s">
        <v>311</v>
      </c>
      <c r="E1228" s="6"/>
      <c r="F1228" t="s">
        <v>310</v>
      </c>
      <c r="M1228" t="str">
        <f>+D1228</f>
        <v>element_quantity_results</v>
      </c>
      <c r="N1228">
        <v>1226</v>
      </c>
    </row>
    <row r="1229" spans="1:14" ht="19.5" thickBot="1">
      <c r="B1229" s="17" t="s">
        <v>22</v>
      </c>
      <c r="C1229" s="15"/>
      <c r="D1229" s="21" t="s">
        <v>312</v>
      </c>
      <c r="E1229" s="20"/>
      <c r="F1229"/>
    </row>
    <row r="1230" spans="1:14" ht="19.5" thickTop="1"/>
    <row r="1231" spans="1:14">
      <c r="B1231" s="1" t="s">
        <v>23</v>
      </c>
      <c r="C1231" s="14"/>
    </row>
    <row r="1236" spans="2:3">
      <c r="B1236" s="1" t="s">
        <v>24</v>
      </c>
      <c r="C1236" s="14"/>
    </row>
    <row r="1237" spans="2:3">
      <c r="C1237" t="s">
        <v>25</v>
      </c>
    </row>
    <row r="1239" spans="2:3">
      <c r="B1239" s="1" t="s">
        <v>26</v>
      </c>
      <c r="C1239" s="14"/>
    </row>
    <row r="1240" spans="2:3">
      <c r="C1240" s="10"/>
    </row>
    <row r="1245" spans="2:3">
      <c r="B1245" s="1" t="s">
        <v>49</v>
      </c>
      <c r="C1245" s="14"/>
    </row>
    <row r="1246" spans="2:3">
      <c r="C1246" s="24" t="s">
        <v>736</v>
      </c>
    </row>
    <row r="1247" spans="2:3">
      <c r="C1247" t="s">
        <v>737</v>
      </c>
    </row>
    <row r="1248" spans="2:3">
      <c r="C1248" t="s">
        <v>738</v>
      </c>
    </row>
    <row r="1254" spans="1:17" ht="19.5" thickBot="1"/>
    <row r="1255" spans="1:17" ht="19.5" thickTop="1">
      <c r="B1255" s="94" t="s">
        <v>2</v>
      </c>
      <c r="C1255" s="95"/>
      <c r="D1255" s="11" t="s">
        <v>3</v>
      </c>
      <c r="E1255" s="13" t="s">
        <v>4</v>
      </c>
      <c r="F1255" s="35" t="s">
        <v>5</v>
      </c>
      <c r="G1255" s="35" t="s">
        <v>7</v>
      </c>
      <c r="H1255" s="35" t="s">
        <v>27</v>
      </c>
      <c r="I1255" s="35" t="s">
        <v>47</v>
      </c>
      <c r="J1255" s="11" t="s">
        <v>14</v>
      </c>
      <c r="K1255" s="11" t="s">
        <v>15</v>
      </c>
      <c r="L1255" s="12" t="s">
        <v>17</v>
      </c>
      <c r="P1255" s="29"/>
      <c r="Q1255" s="28"/>
    </row>
    <row r="1256" spans="1:17">
      <c r="A1256">
        <v>1</v>
      </c>
      <c r="B1256" s="16" t="s">
        <v>25</v>
      </c>
      <c r="C1256" s="2"/>
      <c r="D1256" s="3" t="s">
        <v>28</v>
      </c>
      <c r="E1256" s="14" t="s">
        <v>29</v>
      </c>
      <c r="F1256" s="3" t="s">
        <v>30</v>
      </c>
      <c r="G1256" s="36"/>
      <c r="H1256" s="36"/>
      <c r="I1256" s="36"/>
      <c r="J1256" s="36"/>
      <c r="K1256" s="31"/>
      <c r="L1256" s="7" t="s">
        <v>219</v>
      </c>
    </row>
    <row r="1257" spans="1:17">
      <c r="A1257">
        <v>2</v>
      </c>
      <c r="B1257" s="16" t="s">
        <v>119</v>
      </c>
      <c r="C1257" s="2"/>
      <c r="D1257" s="3" t="s">
        <v>100</v>
      </c>
      <c r="E1257" s="14" t="s">
        <v>29</v>
      </c>
      <c r="F1257" s="3"/>
      <c r="G1257" s="36"/>
      <c r="H1257" s="36"/>
      <c r="I1257" s="36"/>
      <c r="J1257" s="36"/>
      <c r="K1257" s="31"/>
      <c r="L1257" s="7" t="s">
        <v>622</v>
      </c>
    </row>
    <row r="1258" spans="1:17">
      <c r="A1258">
        <v>3</v>
      </c>
      <c r="B1258" s="16" t="s">
        <v>342</v>
      </c>
      <c r="C1258" s="2"/>
      <c r="D1258" s="3" t="s">
        <v>367</v>
      </c>
      <c r="E1258" s="14" t="s">
        <v>29</v>
      </c>
      <c r="F1258" s="3"/>
      <c r="G1258" s="36"/>
      <c r="H1258" s="36"/>
      <c r="I1258" s="36"/>
      <c r="J1258" s="36"/>
      <c r="K1258" s="31"/>
      <c r="L1258" s="7" t="s">
        <v>623</v>
      </c>
    </row>
    <row r="1259" spans="1:17">
      <c r="A1259">
        <v>4</v>
      </c>
      <c r="B1259" s="16" t="s">
        <v>624</v>
      </c>
      <c r="C1259" s="2"/>
      <c r="D1259" s="3" t="s">
        <v>625</v>
      </c>
      <c r="E1259" s="14" t="s">
        <v>626</v>
      </c>
      <c r="F1259" s="3"/>
      <c r="G1259" s="36"/>
      <c r="H1259" s="36"/>
      <c r="I1259" s="36"/>
      <c r="J1259" s="36"/>
      <c r="K1259" s="31"/>
      <c r="L1259" s="40" t="s">
        <v>804</v>
      </c>
    </row>
    <row r="1260" spans="1:17">
      <c r="A1260">
        <v>5</v>
      </c>
      <c r="B1260" s="16" t="s">
        <v>561</v>
      </c>
      <c r="C1260" s="2"/>
      <c r="D1260" s="3" t="s">
        <v>627</v>
      </c>
      <c r="E1260" s="14" t="s">
        <v>628</v>
      </c>
      <c r="F1260" s="3"/>
      <c r="G1260" s="36"/>
      <c r="H1260" s="36"/>
      <c r="I1260" s="36"/>
      <c r="J1260" s="36"/>
      <c r="K1260" s="31"/>
      <c r="L1260" s="7" t="s">
        <v>629</v>
      </c>
    </row>
    <row r="1261" spans="1:17">
      <c r="A1261">
        <v>6</v>
      </c>
      <c r="B1261" s="16" t="s">
        <v>564</v>
      </c>
      <c r="C1261" s="2"/>
      <c r="D1261" s="3" t="s">
        <v>630</v>
      </c>
      <c r="E1261" s="14" t="s">
        <v>626</v>
      </c>
      <c r="F1261" s="3"/>
      <c r="G1261" s="36"/>
      <c r="H1261" s="36"/>
      <c r="I1261" s="36"/>
      <c r="J1261" s="36"/>
      <c r="K1261" s="31"/>
      <c r="L1261" s="7" t="s">
        <v>631</v>
      </c>
    </row>
    <row r="1262" spans="1:17">
      <c r="A1262">
        <v>7</v>
      </c>
      <c r="B1262" s="16" t="s">
        <v>632</v>
      </c>
      <c r="C1262" s="2"/>
      <c r="D1262" s="3" t="s">
        <v>633</v>
      </c>
      <c r="E1262" s="14" t="s">
        <v>29</v>
      </c>
      <c r="F1262" s="3"/>
      <c r="G1262" s="36"/>
      <c r="H1262" s="36"/>
      <c r="I1262" s="36"/>
      <c r="J1262" s="36"/>
      <c r="K1262" s="31"/>
      <c r="L1262" s="40" t="s">
        <v>801</v>
      </c>
    </row>
    <row r="1263" spans="1:17">
      <c r="A1263">
        <v>8</v>
      </c>
      <c r="B1263" s="65" t="s">
        <v>734</v>
      </c>
      <c r="C1263" s="2"/>
      <c r="D1263" s="3" t="s">
        <v>676</v>
      </c>
      <c r="E1263" s="14" t="s">
        <v>29</v>
      </c>
      <c r="F1263" s="3"/>
      <c r="G1263" s="36" t="s">
        <v>30</v>
      </c>
      <c r="H1263" s="36"/>
      <c r="I1263" s="36"/>
      <c r="J1263" s="36"/>
      <c r="K1263" s="30" t="s">
        <v>739</v>
      </c>
      <c r="L1263" s="7"/>
    </row>
    <row r="1264" spans="1:17">
      <c r="A1264">
        <v>9</v>
      </c>
      <c r="B1264" s="16" t="s">
        <v>634</v>
      </c>
      <c r="C1264" s="2"/>
      <c r="D1264" s="3" t="s">
        <v>422</v>
      </c>
      <c r="E1264" s="14" t="s">
        <v>29</v>
      </c>
      <c r="F1264" s="3"/>
      <c r="G1264" s="36"/>
      <c r="H1264" s="36"/>
      <c r="I1264" s="36"/>
      <c r="J1264" s="36"/>
      <c r="K1264" s="31"/>
      <c r="L1264" s="7" t="s">
        <v>635</v>
      </c>
    </row>
    <row r="1265" spans="1:14">
      <c r="A1265">
        <v>10</v>
      </c>
      <c r="B1265" s="16" t="s">
        <v>636</v>
      </c>
      <c r="C1265" s="2"/>
      <c r="D1265" s="3" t="s">
        <v>637</v>
      </c>
      <c r="E1265" s="14" t="s">
        <v>626</v>
      </c>
      <c r="F1265" s="3"/>
      <c r="G1265" s="36"/>
      <c r="H1265" s="36"/>
      <c r="I1265" s="36"/>
      <c r="J1265" s="36"/>
      <c r="K1265" s="31"/>
      <c r="L1265" s="7" t="s">
        <v>638</v>
      </c>
    </row>
    <row r="1266" spans="1:14">
      <c r="A1266">
        <v>11</v>
      </c>
      <c r="B1266" s="16" t="s">
        <v>639</v>
      </c>
      <c r="C1266" s="2"/>
      <c r="D1266" s="3" t="s">
        <v>640</v>
      </c>
      <c r="E1266" s="14" t="s">
        <v>31</v>
      </c>
      <c r="F1266" s="3"/>
      <c r="G1266" s="36"/>
      <c r="H1266" s="36"/>
      <c r="I1266" s="36"/>
      <c r="J1266" s="36"/>
      <c r="K1266" s="31"/>
      <c r="L1266" s="7" t="s">
        <v>641</v>
      </c>
    </row>
    <row r="1267" spans="1:14">
      <c r="A1267">
        <v>12</v>
      </c>
      <c r="B1267" s="16" t="s">
        <v>34</v>
      </c>
      <c r="C1267" s="2"/>
      <c r="D1267" s="3" t="s">
        <v>35</v>
      </c>
      <c r="E1267" s="14" t="s">
        <v>36</v>
      </c>
      <c r="F1267" s="36"/>
      <c r="G1267" s="36"/>
      <c r="H1267" s="36"/>
      <c r="I1267" s="36"/>
      <c r="J1267" s="30" t="s">
        <v>37</v>
      </c>
      <c r="K1267" s="3"/>
      <c r="L1267" s="7"/>
    </row>
    <row r="1268" spans="1:14" ht="19.5" thickBot="1">
      <c r="A1268">
        <v>13</v>
      </c>
      <c r="B1268" s="17" t="s">
        <v>38</v>
      </c>
      <c r="C1268" s="18"/>
      <c r="D1268" s="8" t="s">
        <v>39</v>
      </c>
      <c r="E1268" s="15" t="s">
        <v>36</v>
      </c>
      <c r="F1268" s="37"/>
      <c r="G1268" s="37"/>
      <c r="H1268" s="37"/>
      <c r="I1268" s="37"/>
      <c r="J1268" s="38" t="s">
        <v>37</v>
      </c>
      <c r="K1268" s="8"/>
      <c r="L1268" s="9" t="s">
        <v>50</v>
      </c>
    </row>
    <row r="1269" spans="1:14" ht="19.5" thickTop="1">
      <c r="J1269" s="43"/>
    </row>
    <row r="1270" spans="1:14">
      <c r="B1270" t="str">
        <f>HYPERLINK("#'テーブル設計'!B2","テーブル一覧")</f>
        <v>テーブル一覧</v>
      </c>
    </row>
    <row r="1271" spans="1:14" ht="19.5" thickBot="1"/>
    <row r="1272" spans="1:14" ht="19.5" thickTop="1">
      <c r="B1272" s="19" t="s">
        <v>21</v>
      </c>
      <c r="C1272" s="4"/>
      <c r="D1272" s="5" t="s">
        <v>314</v>
      </c>
      <c r="E1272" s="6"/>
      <c r="F1272" t="s">
        <v>313</v>
      </c>
      <c r="M1272" t="str">
        <f>+D1272</f>
        <v>quantity_summaries</v>
      </c>
      <c r="N1272">
        <v>1270</v>
      </c>
    </row>
    <row r="1273" spans="1:14" ht="19.5" thickBot="1">
      <c r="B1273" s="17" t="s">
        <v>22</v>
      </c>
      <c r="C1273" s="15"/>
      <c r="D1273" s="21" t="s">
        <v>315</v>
      </c>
      <c r="E1273" s="20"/>
    </row>
    <row r="1274" spans="1:14" ht="19.5" thickTop="1"/>
    <row r="1275" spans="1:14">
      <c r="B1275" s="1" t="s">
        <v>23</v>
      </c>
      <c r="C1275" s="14"/>
    </row>
    <row r="1280" spans="1:14">
      <c r="B1280" s="1" t="s">
        <v>24</v>
      </c>
      <c r="C1280" s="14"/>
    </row>
    <row r="1281" spans="2:3">
      <c r="C1281" t="s">
        <v>25</v>
      </c>
    </row>
    <row r="1283" spans="2:3">
      <c r="B1283" s="1" t="s">
        <v>26</v>
      </c>
      <c r="C1283" s="14"/>
    </row>
    <row r="1284" spans="2:3">
      <c r="C1284" s="10"/>
    </row>
    <row r="1289" spans="2:3">
      <c r="B1289" s="1" t="s">
        <v>49</v>
      </c>
      <c r="C1289" s="14"/>
    </row>
    <row r="1290" spans="2:3">
      <c r="C1290" s="24" t="s">
        <v>65</v>
      </c>
    </row>
    <row r="1298" spans="1:17" ht="19.5" thickBot="1"/>
    <row r="1299" spans="1:17" ht="19.5" thickTop="1">
      <c r="B1299" s="94" t="s">
        <v>2</v>
      </c>
      <c r="C1299" s="95"/>
      <c r="D1299" s="11" t="s">
        <v>3</v>
      </c>
      <c r="E1299" s="13" t="s">
        <v>4</v>
      </c>
      <c r="F1299" s="35" t="s">
        <v>5</v>
      </c>
      <c r="G1299" s="35" t="s">
        <v>7</v>
      </c>
      <c r="H1299" s="35" t="s">
        <v>27</v>
      </c>
      <c r="I1299" s="35" t="s">
        <v>47</v>
      </c>
      <c r="J1299" s="11" t="s">
        <v>14</v>
      </c>
      <c r="K1299" s="11" t="s">
        <v>15</v>
      </c>
      <c r="L1299" s="12" t="s">
        <v>17</v>
      </c>
      <c r="P1299" s="29"/>
      <c r="Q1299" s="28"/>
    </row>
    <row r="1300" spans="1:17">
      <c r="A1300">
        <v>1</v>
      </c>
      <c r="B1300" s="16" t="s">
        <v>25</v>
      </c>
      <c r="C1300" s="2"/>
      <c r="D1300" s="3" t="s">
        <v>28</v>
      </c>
      <c r="E1300" s="14" t="s">
        <v>29</v>
      </c>
      <c r="F1300" s="3" t="s">
        <v>30</v>
      </c>
      <c r="G1300" s="36"/>
      <c r="H1300" s="36" t="s">
        <v>30</v>
      </c>
      <c r="I1300" s="36" t="s">
        <v>30</v>
      </c>
      <c r="J1300" s="36"/>
      <c r="K1300" s="31"/>
      <c r="L1300" s="7" t="s">
        <v>219</v>
      </c>
    </row>
    <row r="1301" spans="1:17">
      <c r="A1301">
        <v>2</v>
      </c>
      <c r="B1301" s="16"/>
      <c r="C1301" s="2"/>
      <c r="D1301" s="3"/>
      <c r="E1301" s="14"/>
      <c r="F1301" s="3"/>
      <c r="G1301" s="36"/>
      <c r="H1301" s="36"/>
      <c r="I1301" s="36"/>
      <c r="J1301" s="36"/>
      <c r="K1301" s="31"/>
      <c r="L1301" s="7"/>
    </row>
    <row r="1302" spans="1:17">
      <c r="A1302">
        <v>3</v>
      </c>
      <c r="B1302" s="16"/>
      <c r="C1302" s="2"/>
      <c r="D1302" s="3"/>
      <c r="E1302" s="14"/>
      <c r="F1302" s="3"/>
      <c r="G1302" s="36"/>
      <c r="H1302" s="36"/>
      <c r="I1302" s="36"/>
      <c r="J1302" s="36"/>
      <c r="K1302" s="31"/>
      <c r="L1302" s="7"/>
    </row>
    <row r="1303" spans="1:17">
      <c r="A1303">
        <v>4</v>
      </c>
      <c r="B1303" s="16"/>
      <c r="C1303" s="2"/>
      <c r="D1303" s="3"/>
      <c r="E1303" s="14"/>
      <c r="F1303" s="3"/>
      <c r="G1303" s="36"/>
      <c r="H1303" s="36"/>
      <c r="I1303" s="36"/>
      <c r="J1303" s="36"/>
      <c r="K1303" s="31"/>
      <c r="L1303" s="7"/>
    </row>
    <row r="1304" spans="1:17">
      <c r="A1304">
        <v>5</v>
      </c>
      <c r="B1304" s="16"/>
      <c r="C1304" s="2"/>
      <c r="D1304" s="3"/>
      <c r="E1304" s="14"/>
      <c r="F1304" s="3"/>
      <c r="G1304" s="36"/>
      <c r="H1304" s="36"/>
      <c r="I1304" s="36"/>
      <c r="J1304" s="36"/>
      <c r="K1304" s="31"/>
      <c r="L1304" s="7"/>
    </row>
    <row r="1305" spans="1:17">
      <c r="A1305">
        <v>6</v>
      </c>
      <c r="B1305" s="16"/>
      <c r="C1305" s="2"/>
      <c r="D1305" s="3"/>
      <c r="E1305" s="14"/>
      <c r="F1305" s="3"/>
      <c r="G1305" s="36"/>
      <c r="H1305" s="36"/>
      <c r="I1305" s="36"/>
      <c r="J1305" s="36"/>
      <c r="K1305" s="31"/>
      <c r="L1305" s="7"/>
    </row>
    <row r="1306" spans="1:17">
      <c r="A1306">
        <v>7</v>
      </c>
      <c r="B1306" s="16"/>
      <c r="C1306" s="2"/>
      <c r="D1306" s="3"/>
      <c r="E1306" s="14"/>
      <c r="F1306" s="3"/>
      <c r="G1306" s="36"/>
      <c r="H1306" s="36"/>
      <c r="I1306" s="36"/>
      <c r="J1306" s="36"/>
      <c r="K1306" s="31"/>
      <c r="L1306" s="7"/>
    </row>
    <row r="1307" spans="1:17">
      <c r="A1307">
        <v>8</v>
      </c>
      <c r="B1307" s="16"/>
      <c r="C1307" s="2"/>
      <c r="D1307" s="3"/>
      <c r="E1307" s="14"/>
      <c r="F1307" s="3"/>
      <c r="G1307" s="36"/>
      <c r="H1307" s="36"/>
      <c r="I1307" s="36"/>
      <c r="J1307" s="36"/>
      <c r="K1307" s="31"/>
      <c r="L1307" s="7"/>
    </row>
    <row r="1308" spans="1:17">
      <c r="A1308">
        <v>9</v>
      </c>
      <c r="B1308" s="16"/>
      <c r="C1308" s="2"/>
      <c r="D1308" s="3"/>
      <c r="E1308" s="14"/>
      <c r="F1308" s="3"/>
      <c r="G1308" s="36"/>
      <c r="H1308" s="36"/>
      <c r="I1308" s="36"/>
      <c r="J1308" s="36"/>
      <c r="K1308" s="31"/>
      <c r="L1308" s="7"/>
    </row>
    <row r="1309" spans="1:17">
      <c r="A1309">
        <v>10</v>
      </c>
      <c r="B1309" s="16"/>
      <c r="C1309" s="2"/>
      <c r="D1309" s="3"/>
      <c r="E1309" s="14"/>
      <c r="F1309" s="3"/>
      <c r="G1309" s="36"/>
      <c r="H1309" s="36"/>
      <c r="I1309" s="36"/>
      <c r="J1309" s="36"/>
      <c r="K1309" s="31"/>
      <c r="L1309" s="7"/>
    </row>
    <row r="1310" spans="1:17">
      <c r="A1310">
        <v>11</v>
      </c>
      <c r="B1310" s="16"/>
      <c r="C1310" s="2"/>
      <c r="D1310" s="3"/>
      <c r="E1310" s="14"/>
      <c r="F1310" s="3"/>
      <c r="G1310" s="36"/>
      <c r="H1310" s="36"/>
      <c r="I1310" s="36"/>
      <c r="J1310" s="36"/>
      <c r="K1310" s="31"/>
      <c r="L1310" s="7"/>
    </row>
    <row r="1311" spans="1:17">
      <c r="A1311">
        <v>12</v>
      </c>
      <c r="B1311" s="16"/>
      <c r="C1311" s="2"/>
      <c r="D1311" s="3"/>
      <c r="E1311" s="14"/>
      <c r="F1311" s="3"/>
      <c r="G1311" s="36"/>
      <c r="H1311" s="36"/>
      <c r="I1311" s="36"/>
      <c r="J1311" s="36"/>
      <c r="K1311" s="31"/>
      <c r="L1311" s="7"/>
    </row>
    <row r="1312" spans="1:17">
      <c r="A1312">
        <v>13</v>
      </c>
      <c r="B1312" s="16"/>
      <c r="C1312" s="2"/>
      <c r="D1312" s="3"/>
      <c r="E1312" s="14"/>
      <c r="F1312" s="3"/>
      <c r="G1312" s="36"/>
      <c r="H1312" s="36"/>
      <c r="I1312" s="36"/>
      <c r="J1312" s="36"/>
      <c r="K1312" s="31"/>
      <c r="L1312" s="7"/>
    </row>
    <row r="1313" spans="1:14">
      <c r="A1313">
        <v>14</v>
      </c>
      <c r="B1313" s="16"/>
      <c r="C1313" s="2"/>
      <c r="D1313" s="3"/>
      <c r="E1313" s="14"/>
      <c r="F1313" s="3"/>
      <c r="G1313" s="36"/>
      <c r="H1313" s="36"/>
      <c r="I1313" s="36"/>
      <c r="J1313" s="36"/>
      <c r="K1313" s="31"/>
      <c r="L1313" s="7"/>
    </row>
    <row r="1314" spans="1:14">
      <c r="A1314">
        <v>15</v>
      </c>
      <c r="B1314" s="16"/>
      <c r="C1314" s="2"/>
      <c r="D1314" s="3"/>
      <c r="E1314" s="14"/>
      <c r="F1314" s="3"/>
      <c r="G1314" s="36"/>
      <c r="H1314" s="36"/>
      <c r="I1314" s="36"/>
      <c r="J1314" s="36"/>
      <c r="K1314" s="31"/>
      <c r="L1314" s="7"/>
    </row>
    <row r="1315" spans="1:14">
      <c r="A1315">
        <v>16</v>
      </c>
      <c r="B1315" s="16"/>
      <c r="C1315" s="2"/>
      <c r="D1315" s="3"/>
      <c r="E1315" s="14"/>
      <c r="F1315" s="3"/>
      <c r="G1315" s="36"/>
      <c r="H1315" s="36"/>
      <c r="I1315" s="36"/>
      <c r="J1315" s="36"/>
      <c r="K1315" s="31"/>
      <c r="L1315" s="7"/>
    </row>
    <row r="1316" spans="1:14">
      <c r="A1316">
        <v>17</v>
      </c>
      <c r="B1316" s="16"/>
      <c r="C1316" s="2"/>
      <c r="D1316" s="3"/>
      <c r="E1316" s="14"/>
      <c r="F1316" s="3"/>
      <c r="G1316" s="36"/>
      <c r="H1316" s="36"/>
      <c r="I1316" s="36"/>
      <c r="J1316" s="36"/>
      <c r="K1316" s="31"/>
      <c r="L1316" s="7"/>
    </row>
    <row r="1317" spans="1:14">
      <c r="A1317">
        <v>18</v>
      </c>
      <c r="B1317" s="16"/>
      <c r="C1317" s="2"/>
      <c r="D1317" s="3"/>
      <c r="E1317" s="14"/>
      <c r="F1317" s="3"/>
      <c r="G1317" s="36"/>
      <c r="H1317" s="36"/>
      <c r="I1317" s="36"/>
      <c r="J1317" s="36"/>
      <c r="K1317" s="31"/>
      <c r="L1317" s="7"/>
    </row>
    <row r="1318" spans="1:14">
      <c r="A1318">
        <v>19</v>
      </c>
      <c r="B1318" s="16"/>
      <c r="C1318" s="2"/>
      <c r="D1318" s="3"/>
      <c r="E1318" s="14"/>
      <c r="F1318" s="3"/>
      <c r="G1318" s="36"/>
      <c r="H1318" s="36"/>
      <c r="I1318" s="36"/>
      <c r="J1318" s="36"/>
      <c r="K1318" s="31"/>
      <c r="L1318" s="7"/>
    </row>
    <row r="1319" spans="1:14">
      <c r="A1319">
        <v>20</v>
      </c>
      <c r="B1319" s="16"/>
      <c r="C1319" s="2"/>
      <c r="D1319" s="3"/>
      <c r="E1319" s="3"/>
      <c r="F1319" s="14"/>
      <c r="G1319" s="3"/>
      <c r="H1319" s="36"/>
      <c r="I1319" s="36"/>
      <c r="J1319" s="36"/>
      <c r="K1319" s="44"/>
      <c r="L1319" s="31"/>
    </row>
    <row r="1320" spans="1:14">
      <c r="A1320">
        <v>21</v>
      </c>
      <c r="B1320" s="16"/>
      <c r="C1320" s="2"/>
      <c r="D1320" s="3"/>
      <c r="E1320" s="3"/>
      <c r="F1320" s="14"/>
      <c r="G1320" s="3"/>
      <c r="H1320" s="36"/>
      <c r="I1320" s="36"/>
      <c r="J1320" s="36"/>
      <c r="K1320" s="36"/>
      <c r="L1320" s="31"/>
    </row>
    <row r="1321" spans="1:14">
      <c r="A1321">
        <v>22</v>
      </c>
      <c r="B1321" s="16" t="s">
        <v>34</v>
      </c>
      <c r="C1321" s="2"/>
      <c r="D1321" s="3" t="s">
        <v>35</v>
      </c>
      <c r="E1321" s="14" t="s">
        <v>36</v>
      </c>
      <c r="F1321" s="36"/>
      <c r="G1321" s="36"/>
      <c r="H1321" s="36"/>
      <c r="I1321" s="36"/>
      <c r="J1321" s="30" t="s">
        <v>37</v>
      </c>
      <c r="K1321" s="3"/>
      <c r="L1321" s="7"/>
    </row>
    <row r="1322" spans="1:14" ht="19.5" thickBot="1">
      <c r="A1322">
        <v>23</v>
      </c>
      <c r="B1322" s="17" t="s">
        <v>38</v>
      </c>
      <c r="C1322" s="18"/>
      <c r="D1322" s="8" t="s">
        <v>39</v>
      </c>
      <c r="E1322" s="15" t="s">
        <v>36</v>
      </c>
      <c r="F1322" s="37"/>
      <c r="G1322" s="37"/>
      <c r="H1322" s="37"/>
      <c r="I1322" s="37"/>
      <c r="J1322" s="38" t="s">
        <v>37</v>
      </c>
      <c r="K1322" s="8"/>
      <c r="L1322" s="9" t="s">
        <v>50</v>
      </c>
    </row>
    <row r="1323" spans="1:14" ht="19.5" thickTop="1">
      <c r="J1323" s="43"/>
    </row>
    <row r="1324" spans="1:14">
      <c r="B1324" t="str">
        <f>HYPERLINK("#'テーブル設計'!B2","テーブル一覧")</f>
        <v>テーブル一覧</v>
      </c>
    </row>
    <row r="1325" spans="1:14" ht="19.5" thickBot="1"/>
    <row r="1326" spans="1:14" ht="19.5" thickTop="1">
      <c r="B1326" s="19" t="s">
        <v>21</v>
      </c>
      <c r="C1326" s="4"/>
      <c r="D1326" s="5" t="s">
        <v>317</v>
      </c>
      <c r="E1326" s="6"/>
      <c r="F1326" t="s">
        <v>316</v>
      </c>
      <c r="M1326" t="str">
        <f>+D1326</f>
        <v>calculation_evidence</v>
      </c>
      <c r="N1326">
        <v>1324</v>
      </c>
    </row>
    <row r="1327" spans="1:14" ht="19.5" thickBot="1">
      <c r="B1327" s="17" t="s">
        <v>22</v>
      </c>
      <c r="C1327" s="15"/>
      <c r="D1327" s="21" t="s">
        <v>318</v>
      </c>
      <c r="E1327" s="20"/>
    </row>
    <row r="1328" spans="1:14" ht="19.5" thickTop="1"/>
    <row r="1329" spans="2:3">
      <c r="B1329" s="1" t="s">
        <v>23</v>
      </c>
      <c r="C1329" s="14"/>
    </row>
    <row r="1334" spans="2:3">
      <c r="B1334" s="1" t="s">
        <v>24</v>
      </c>
      <c r="C1334" s="14"/>
    </row>
    <row r="1335" spans="2:3">
      <c r="C1335" t="s">
        <v>25</v>
      </c>
    </row>
    <row r="1337" spans="2:3">
      <c r="B1337" s="1" t="s">
        <v>26</v>
      </c>
      <c r="C1337" s="14"/>
    </row>
    <row r="1338" spans="2:3">
      <c r="C1338" s="10"/>
    </row>
    <row r="1343" spans="2:3">
      <c r="B1343" s="1" t="s">
        <v>49</v>
      </c>
      <c r="C1343" s="14"/>
    </row>
    <row r="1344" spans="2:3">
      <c r="C1344" s="24" t="s">
        <v>65</v>
      </c>
    </row>
    <row r="1352" spans="1:17" ht="19.5" thickBot="1"/>
    <row r="1353" spans="1:17" ht="19.5" thickTop="1">
      <c r="B1353" s="94" t="s">
        <v>2</v>
      </c>
      <c r="C1353" s="95"/>
      <c r="D1353" s="11" t="s">
        <v>3</v>
      </c>
      <c r="E1353" s="13" t="s">
        <v>4</v>
      </c>
      <c r="F1353" s="35" t="s">
        <v>5</v>
      </c>
      <c r="G1353" s="35" t="s">
        <v>7</v>
      </c>
      <c r="H1353" s="35" t="s">
        <v>27</v>
      </c>
      <c r="I1353" s="35" t="s">
        <v>47</v>
      </c>
      <c r="J1353" s="11" t="s">
        <v>14</v>
      </c>
      <c r="K1353" s="11" t="s">
        <v>15</v>
      </c>
      <c r="L1353" s="12" t="s">
        <v>17</v>
      </c>
      <c r="P1353" s="29"/>
      <c r="Q1353" s="28"/>
    </row>
    <row r="1354" spans="1:17">
      <c r="A1354">
        <v>1</v>
      </c>
      <c r="B1354" s="16" t="s">
        <v>25</v>
      </c>
      <c r="C1354" s="2"/>
      <c r="D1354" s="3" t="s">
        <v>28</v>
      </c>
      <c r="E1354" s="14" t="s">
        <v>29</v>
      </c>
      <c r="F1354" s="3" t="s">
        <v>30</v>
      </c>
      <c r="G1354" s="36"/>
      <c r="H1354" s="36" t="s">
        <v>30</v>
      </c>
      <c r="I1354" s="36" t="s">
        <v>30</v>
      </c>
      <c r="J1354" s="36"/>
      <c r="K1354" s="31"/>
      <c r="L1354" s="7" t="s">
        <v>219</v>
      </c>
    </row>
    <row r="1355" spans="1:17">
      <c r="A1355">
        <v>2</v>
      </c>
      <c r="B1355" s="16"/>
      <c r="C1355" s="2"/>
      <c r="D1355" s="3"/>
      <c r="E1355" s="14"/>
      <c r="F1355" s="3"/>
      <c r="G1355" s="36"/>
      <c r="H1355" s="36"/>
      <c r="I1355" s="36"/>
      <c r="J1355" s="36"/>
      <c r="K1355" s="31"/>
      <c r="L1355" s="7"/>
    </row>
    <row r="1356" spans="1:17">
      <c r="A1356">
        <v>3</v>
      </c>
      <c r="B1356" s="16"/>
      <c r="C1356" s="2"/>
      <c r="D1356" s="3"/>
      <c r="E1356" s="14"/>
      <c r="F1356" s="3"/>
      <c r="G1356" s="36"/>
      <c r="H1356" s="36"/>
      <c r="I1356" s="36"/>
      <c r="J1356" s="36"/>
      <c r="K1356" s="31"/>
      <c r="L1356" s="7"/>
    </row>
    <row r="1357" spans="1:17">
      <c r="A1357">
        <v>4</v>
      </c>
      <c r="B1357" s="16"/>
      <c r="C1357" s="2"/>
      <c r="D1357" s="3"/>
      <c r="E1357" s="14"/>
      <c r="F1357" s="3"/>
      <c r="G1357" s="36"/>
      <c r="H1357" s="36"/>
      <c r="I1357" s="36"/>
      <c r="J1357" s="36"/>
      <c r="K1357" s="31"/>
      <c r="L1357" s="7"/>
    </row>
    <row r="1358" spans="1:17">
      <c r="A1358">
        <v>5</v>
      </c>
      <c r="B1358" s="16"/>
      <c r="C1358" s="2"/>
      <c r="D1358" s="3"/>
      <c r="E1358" s="14"/>
      <c r="F1358" s="3"/>
      <c r="G1358" s="36"/>
      <c r="H1358" s="36"/>
      <c r="I1358" s="36"/>
      <c r="J1358" s="36"/>
      <c r="K1358" s="31"/>
      <c r="L1358" s="7"/>
    </row>
    <row r="1359" spans="1:17">
      <c r="A1359">
        <v>6</v>
      </c>
      <c r="B1359" s="16"/>
      <c r="C1359" s="2"/>
      <c r="D1359" s="3"/>
      <c r="E1359" s="14"/>
      <c r="F1359" s="3"/>
      <c r="G1359" s="36"/>
      <c r="H1359" s="36"/>
      <c r="I1359" s="36"/>
      <c r="J1359" s="36"/>
      <c r="K1359" s="31"/>
      <c r="L1359" s="7"/>
    </row>
    <row r="1360" spans="1:17">
      <c r="A1360">
        <v>7</v>
      </c>
      <c r="B1360" s="16"/>
      <c r="C1360" s="2"/>
      <c r="D1360" s="3"/>
      <c r="E1360" s="14"/>
      <c r="F1360" s="3"/>
      <c r="G1360" s="36"/>
      <c r="H1360" s="36"/>
      <c r="I1360" s="36"/>
      <c r="J1360" s="36"/>
      <c r="K1360" s="31"/>
      <c r="L1360" s="7"/>
    </row>
    <row r="1361" spans="1:12">
      <c r="A1361">
        <v>8</v>
      </c>
      <c r="B1361" s="16"/>
      <c r="C1361" s="2"/>
      <c r="D1361" s="3"/>
      <c r="E1361" s="14"/>
      <c r="F1361" s="3"/>
      <c r="G1361" s="36"/>
      <c r="H1361" s="36"/>
      <c r="I1361" s="36"/>
      <c r="J1361" s="36"/>
      <c r="K1361" s="31"/>
      <c r="L1361" s="7"/>
    </row>
    <row r="1362" spans="1:12">
      <c r="A1362">
        <v>9</v>
      </c>
      <c r="B1362" s="16"/>
      <c r="C1362" s="2"/>
      <c r="D1362" s="3"/>
      <c r="E1362" s="14"/>
      <c r="F1362" s="3"/>
      <c r="G1362" s="36"/>
      <c r="H1362" s="36"/>
      <c r="I1362" s="36"/>
      <c r="J1362" s="36"/>
      <c r="K1362" s="31"/>
      <c r="L1362" s="7"/>
    </row>
    <row r="1363" spans="1:12">
      <c r="A1363">
        <v>10</v>
      </c>
      <c r="B1363" s="16"/>
      <c r="C1363" s="2"/>
      <c r="D1363" s="3"/>
      <c r="E1363" s="14"/>
      <c r="F1363" s="3"/>
      <c r="G1363" s="36"/>
      <c r="H1363" s="36"/>
      <c r="I1363" s="36"/>
      <c r="J1363" s="36"/>
      <c r="K1363" s="31"/>
      <c r="L1363" s="7"/>
    </row>
    <row r="1364" spans="1:12">
      <c r="A1364">
        <v>11</v>
      </c>
      <c r="B1364" s="16"/>
      <c r="C1364" s="2"/>
      <c r="D1364" s="3"/>
      <c r="E1364" s="14"/>
      <c r="F1364" s="3"/>
      <c r="G1364" s="36"/>
      <c r="H1364" s="36"/>
      <c r="I1364" s="36"/>
      <c r="J1364" s="36"/>
      <c r="K1364" s="31"/>
      <c r="L1364" s="7"/>
    </row>
    <row r="1365" spans="1:12">
      <c r="A1365">
        <v>12</v>
      </c>
      <c r="B1365" s="16"/>
      <c r="C1365" s="2"/>
      <c r="D1365" s="3"/>
      <c r="E1365" s="14"/>
      <c r="F1365" s="3"/>
      <c r="G1365" s="36"/>
      <c r="H1365" s="36"/>
      <c r="I1365" s="36"/>
      <c r="J1365" s="36"/>
      <c r="K1365" s="31"/>
      <c r="L1365" s="7"/>
    </row>
    <row r="1366" spans="1:12">
      <c r="A1366">
        <v>13</v>
      </c>
      <c r="B1366" s="16"/>
      <c r="C1366" s="2"/>
      <c r="D1366" s="3"/>
      <c r="E1366" s="14"/>
      <c r="F1366" s="3"/>
      <c r="G1366" s="36"/>
      <c r="H1366" s="36"/>
      <c r="I1366" s="36"/>
      <c r="J1366" s="36"/>
      <c r="K1366" s="31"/>
      <c r="L1366" s="7"/>
    </row>
    <row r="1367" spans="1:12">
      <c r="A1367">
        <v>14</v>
      </c>
      <c r="B1367" s="16"/>
      <c r="C1367" s="2"/>
      <c r="D1367" s="3"/>
      <c r="E1367" s="14"/>
      <c r="F1367" s="3"/>
      <c r="G1367" s="36"/>
      <c r="H1367" s="36"/>
      <c r="I1367" s="36"/>
      <c r="J1367" s="36"/>
      <c r="K1367" s="31"/>
      <c r="L1367" s="7"/>
    </row>
    <row r="1368" spans="1:12">
      <c r="A1368">
        <v>15</v>
      </c>
      <c r="B1368" s="16"/>
      <c r="C1368" s="2"/>
      <c r="D1368" s="3"/>
      <c r="E1368" s="14"/>
      <c r="F1368" s="3"/>
      <c r="G1368" s="36"/>
      <c r="H1368" s="36"/>
      <c r="I1368" s="36"/>
      <c r="J1368" s="36"/>
      <c r="K1368" s="31"/>
      <c r="L1368" s="7"/>
    </row>
    <row r="1369" spans="1:12">
      <c r="A1369">
        <v>16</v>
      </c>
      <c r="B1369" s="16"/>
      <c r="C1369" s="2"/>
      <c r="D1369" s="3"/>
      <c r="E1369" s="14"/>
      <c r="F1369" s="3"/>
      <c r="G1369" s="36"/>
      <c r="H1369" s="36"/>
      <c r="I1369" s="36"/>
      <c r="J1369" s="36"/>
      <c r="K1369" s="31"/>
      <c r="L1369" s="7"/>
    </row>
    <row r="1370" spans="1:12">
      <c r="A1370">
        <v>17</v>
      </c>
      <c r="B1370" s="16"/>
      <c r="C1370" s="2"/>
      <c r="D1370" s="3"/>
      <c r="E1370" s="14"/>
      <c r="F1370" s="3"/>
      <c r="G1370" s="36"/>
      <c r="H1370" s="36"/>
      <c r="I1370" s="36"/>
      <c r="J1370" s="36"/>
      <c r="K1370" s="31"/>
      <c r="L1370" s="7"/>
    </row>
    <row r="1371" spans="1:12">
      <c r="A1371">
        <v>18</v>
      </c>
      <c r="B1371" s="16"/>
      <c r="C1371" s="2"/>
      <c r="D1371" s="3"/>
      <c r="E1371" s="14"/>
      <c r="F1371" s="3"/>
      <c r="G1371" s="36"/>
      <c r="H1371" s="36"/>
      <c r="I1371" s="36"/>
      <c r="J1371" s="36"/>
      <c r="K1371" s="31"/>
      <c r="L1371" s="7"/>
    </row>
    <row r="1372" spans="1:12">
      <c r="A1372">
        <v>19</v>
      </c>
      <c r="B1372" s="16"/>
      <c r="C1372" s="2"/>
      <c r="D1372" s="3"/>
      <c r="E1372" s="14"/>
      <c r="F1372" s="3"/>
      <c r="G1372" s="36"/>
      <c r="H1372" s="36"/>
      <c r="I1372" s="36"/>
      <c r="J1372" s="36"/>
      <c r="K1372" s="31"/>
      <c r="L1372" s="7"/>
    </row>
    <row r="1373" spans="1:12">
      <c r="A1373">
        <v>20</v>
      </c>
      <c r="B1373" s="16"/>
      <c r="C1373" s="2"/>
      <c r="D1373" s="3"/>
      <c r="E1373" s="3"/>
      <c r="F1373" s="14"/>
      <c r="G1373" s="3"/>
      <c r="H1373" s="36"/>
      <c r="I1373" s="36"/>
      <c r="J1373" s="36"/>
      <c r="K1373" s="44"/>
      <c r="L1373" s="31"/>
    </row>
    <row r="1374" spans="1:12">
      <c r="A1374">
        <v>21</v>
      </c>
      <c r="B1374" s="16"/>
      <c r="C1374" s="2"/>
      <c r="D1374" s="3"/>
      <c r="E1374" s="3"/>
      <c r="F1374" s="14"/>
      <c r="G1374" s="3"/>
      <c r="H1374" s="36"/>
      <c r="I1374" s="36"/>
      <c r="J1374" s="36"/>
      <c r="K1374" s="36"/>
      <c r="L1374" s="31"/>
    </row>
    <row r="1375" spans="1:12">
      <c r="A1375">
        <v>22</v>
      </c>
      <c r="B1375" s="16" t="s">
        <v>34</v>
      </c>
      <c r="C1375" s="2"/>
      <c r="D1375" s="3" t="s">
        <v>35</v>
      </c>
      <c r="E1375" s="14" t="s">
        <v>36</v>
      </c>
      <c r="F1375" s="36"/>
      <c r="G1375" s="36"/>
      <c r="H1375" s="36"/>
      <c r="I1375" s="36"/>
      <c r="J1375" s="30" t="s">
        <v>37</v>
      </c>
      <c r="K1375" s="3"/>
      <c r="L1375" s="7"/>
    </row>
    <row r="1376" spans="1:12" ht="19.5" thickBot="1">
      <c r="A1376">
        <v>23</v>
      </c>
      <c r="B1376" s="17" t="s">
        <v>38</v>
      </c>
      <c r="C1376" s="18"/>
      <c r="D1376" s="8" t="s">
        <v>39</v>
      </c>
      <c r="E1376" s="15" t="s">
        <v>36</v>
      </c>
      <c r="F1376" s="37"/>
      <c r="G1376" s="37"/>
      <c r="H1376" s="37"/>
      <c r="I1376" s="37"/>
      <c r="J1376" s="38" t="s">
        <v>37</v>
      </c>
      <c r="K1376" s="8"/>
      <c r="L1376" s="9" t="s">
        <v>50</v>
      </c>
    </row>
    <row r="1377" spans="2:10" ht="19.5" thickTop="1">
      <c r="J1377" s="43"/>
    </row>
    <row r="1378" spans="2:10">
      <c r="B1378" t="str">
        <f>HYPERLINK("#'テーブル設計'!B2","テーブル一覧")</f>
        <v>テーブル一覧</v>
      </c>
    </row>
    <row r="1379" spans="2:10" ht="19.5" thickBot="1"/>
    <row r="1380" spans="2:10" ht="19.5" thickTop="1">
      <c r="B1380" s="19" t="s">
        <v>21</v>
      </c>
      <c r="C1380" s="4"/>
      <c r="D1380" s="5"/>
      <c r="E1380" s="6"/>
    </row>
    <row r="1381" spans="2:10" ht="19.5" thickBot="1">
      <c r="B1381" s="17" t="s">
        <v>22</v>
      </c>
      <c r="C1381" s="15"/>
      <c r="D1381" s="21"/>
      <c r="E1381" s="20"/>
    </row>
    <row r="1382" spans="2:10" ht="19.5" thickTop="1"/>
    <row r="1383" spans="2:10">
      <c r="B1383" s="1" t="s">
        <v>23</v>
      </c>
      <c r="C1383" s="14"/>
    </row>
    <row r="1388" spans="2:10">
      <c r="B1388" s="1" t="s">
        <v>24</v>
      </c>
      <c r="C1388" s="14"/>
    </row>
    <row r="1389" spans="2:10">
      <c r="C1389" t="s">
        <v>25</v>
      </c>
    </row>
    <row r="1391" spans="2:10">
      <c r="B1391" s="1" t="s">
        <v>26</v>
      </c>
      <c r="C1391" s="14"/>
    </row>
    <row r="1392" spans="2:10">
      <c r="C1392" s="10"/>
    </row>
    <row r="1397" spans="1:17">
      <c r="B1397" s="1" t="s">
        <v>49</v>
      </c>
      <c r="C1397" s="14"/>
    </row>
    <row r="1398" spans="1:17">
      <c r="C1398" s="24" t="s">
        <v>65</v>
      </c>
    </row>
    <row r="1406" spans="1:17" ht="19.5" thickBot="1"/>
    <row r="1407" spans="1:17" ht="19.5" thickTop="1">
      <c r="B1407" s="94" t="s">
        <v>2</v>
      </c>
      <c r="C1407" s="95"/>
      <c r="D1407" s="11" t="s">
        <v>3</v>
      </c>
      <c r="E1407" s="13" t="s">
        <v>4</v>
      </c>
      <c r="F1407" s="35" t="s">
        <v>5</v>
      </c>
      <c r="G1407" s="35" t="s">
        <v>7</v>
      </c>
      <c r="H1407" s="35" t="s">
        <v>27</v>
      </c>
      <c r="I1407" s="35" t="s">
        <v>47</v>
      </c>
      <c r="J1407" s="11" t="s">
        <v>14</v>
      </c>
      <c r="K1407" s="11" t="s">
        <v>15</v>
      </c>
      <c r="L1407" s="12" t="s">
        <v>17</v>
      </c>
      <c r="O1407" s="29"/>
      <c r="P1407" s="29"/>
      <c r="Q1407" s="28"/>
    </row>
    <row r="1408" spans="1:17">
      <c r="A1408">
        <v>1</v>
      </c>
      <c r="B1408" s="16" t="s">
        <v>25</v>
      </c>
      <c r="C1408" s="2"/>
      <c r="D1408" s="3" t="s">
        <v>28</v>
      </c>
      <c r="E1408" s="14" t="s">
        <v>29</v>
      </c>
      <c r="F1408" s="3" t="s">
        <v>30</v>
      </c>
      <c r="G1408" s="36"/>
      <c r="H1408" s="36" t="s">
        <v>30</v>
      </c>
      <c r="I1408" s="36" t="s">
        <v>30</v>
      </c>
      <c r="J1408" s="36"/>
      <c r="K1408" s="31"/>
      <c r="L1408" s="7" t="s">
        <v>219</v>
      </c>
    </row>
    <row r="1409" spans="1:12">
      <c r="A1409">
        <v>2</v>
      </c>
      <c r="B1409" s="16"/>
      <c r="C1409" s="2"/>
      <c r="D1409" s="3"/>
      <c r="E1409" s="14"/>
      <c r="F1409" s="3"/>
      <c r="G1409" s="36"/>
      <c r="H1409" s="36"/>
      <c r="I1409" s="36"/>
      <c r="J1409" s="36"/>
      <c r="K1409" s="31"/>
      <c r="L1409" s="7"/>
    </row>
    <row r="1410" spans="1:12">
      <c r="A1410">
        <v>3</v>
      </c>
      <c r="B1410" s="16"/>
      <c r="C1410" s="2"/>
      <c r="D1410" s="3"/>
      <c r="E1410" s="14"/>
      <c r="F1410" s="3"/>
      <c r="G1410" s="36"/>
      <c r="H1410" s="36"/>
      <c r="I1410" s="36"/>
      <c r="J1410" s="36"/>
      <c r="K1410" s="31"/>
      <c r="L1410" s="7"/>
    </row>
    <row r="1411" spans="1:12">
      <c r="A1411">
        <v>4</v>
      </c>
      <c r="B1411" s="16"/>
      <c r="C1411" s="2"/>
      <c r="D1411" s="3"/>
      <c r="E1411" s="14"/>
      <c r="F1411" s="3"/>
      <c r="G1411" s="36"/>
      <c r="H1411" s="36"/>
      <c r="I1411" s="36"/>
      <c r="J1411" s="36"/>
      <c r="K1411" s="31"/>
      <c r="L1411" s="7"/>
    </row>
    <row r="1412" spans="1:12">
      <c r="A1412">
        <v>5</v>
      </c>
      <c r="B1412" s="16"/>
      <c r="C1412" s="2"/>
      <c r="D1412" s="3"/>
      <c r="E1412" s="14"/>
      <c r="F1412" s="3"/>
      <c r="G1412" s="36"/>
      <c r="H1412" s="36"/>
      <c r="I1412" s="36"/>
      <c r="J1412" s="36"/>
      <c r="K1412" s="31"/>
      <c r="L1412" s="7"/>
    </row>
    <row r="1413" spans="1:12">
      <c r="A1413">
        <v>6</v>
      </c>
      <c r="B1413" s="16"/>
      <c r="C1413" s="2"/>
      <c r="D1413" s="3"/>
      <c r="E1413" s="14"/>
      <c r="F1413" s="3"/>
      <c r="G1413" s="36"/>
      <c r="H1413" s="36"/>
      <c r="I1413" s="36"/>
      <c r="J1413" s="36"/>
      <c r="K1413" s="31"/>
      <c r="L1413" s="7"/>
    </row>
    <row r="1414" spans="1:12">
      <c r="A1414">
        <v>7</v>
      </c>
      <c r="B1414" s="16"/>
      <c r="C1414" s="2"/>
      <c r="D1414" s="3"/>
      <c r="E1414" s="14"/>
      <c r="F1414" s="3"/>
      <c r="G1414" s="36"/>
      <c r="H1414" s="36"/>
      <c r="I1414" s="36"/>
      <c r="J1414" s="36"/>
      <c r="K1414" s="31"/>
      <c r="L1414" s="7"/>
    </row>
    <row r="1415" spans="1:12">
      <c r="A1415">
        <v>8</v>
      </c>
      <c r="B1415" s="16"/>
      <c r="C1415" s="2"/>
      <c r="D1415" s="3"/>
      <c r="E1415" s="14"/>
      <c r="F1415" s="3"/>
      <c r="G1415" s="36"/>
      <c r="H1415" s="36"/>
      <c r="I1415" s="36"/>
      <c r="J1415" s="36"/>
      <c r="K1415" s="31"/>
      <c r="L1415" s="7"/>
    </row>
    <row r="1416" spans="1:12">
      <c r="A1416">
        <v>9</v>
      </c>
      <c r="B1416" s="16"/>
      <c r="C1416" s="2"/>
      <c r="D1416" s="3"/>
      <c r="E1416" s="14"/>
      <c r="F1416" s="3"/>
      <c r="G1416" s="36"/>
      <c r="H1416" s="36"/>
      <c r="I1416" s="36"/>
      <c r="J1416" s="36"/>
      <c r="K1416" s="31"/>
      <c r="L1416" s="7"/>
    </row>
    <row r="1417" spans="1:12">
      <c r="A1417">
        <v>10</v>
      </c>
      <c r="B1417" s="16"/>
      <c r="C1417" s="2"/>
      <c r="D1417" s="3"/>
      <c r="E1417" s="14"/>
      <c r="F1417" s="3"/>
      <c r="G1417" s="36"/>
      <c r="H1417" s="36"/>
      <c r="I1417" s="36"/>
      <c r="J1417" s="36"/>
      <c r="K1417" s="31"/>
      <c r="L1417" s="7"/>
    </row>
    <row r="1418" spans="1:12">
      <c r="A1418">
        <v>11</v>
      </c>
      <c r="B1418" s="16"/>
      <c r="C1418" s="2"/>
      <c r="D1418" s="3"/>
      <c r="E1418" s="14"/>
      <c r="F1418" s="3"/>
      <c r="G1418" s="36"/>
      <c r="H1418" s="36"/>
      <c r="I1418" s="36"/>
      <c r="J1418" s="36"/>
      <c r="K1418" s="31"/>
      <c r="L1418" s="7"/>
    </row>
    <row r="1419" spans="1:12">
      <c r="A1419">
        <v>12</v>
      </c>
      <c r="B1419" s="16"/>
      <c r="C1419" s="2"/>
      <c r="D1419" s="3"/>
      <c r="E1419" s="14"/>
      <c r="F1419" s="3"/>
      <c r="G1419" s="36"/>
      <c r="H1419" s="36"/>
      <c r="I1419" s="36"/>
      <c r="J1419" s="36"/>
      <c r="K1419" s="31"/>
      <c r="L1419" s="7"/>
    </row>
    <row r="1420" spans="1:12">
      <c r="A1420">
        <v>13</v>
      </c>
      <c r="B1420" s="16"/>
      <c r="C1420" s="2"/>
      <c r="D1420" s="3"/>
      <c r="E1420" s="14"/>
      <c r="F1420" s="3"/>
      <c r="G1420" s="36"/>
      <c r="H1420" s="36"/>
      <c r="I1420" s="36"/>
      <c r="J1420" s="36"/>
      <c r="K1420" s="31"/>
      <c r="L1420" s="7"/>
    </row>
    <row r="1421" spans="1:12">
      <c r="A1421">
        <v>14</v>
      </c>
      <c r="B1421" s="16"/>
      <c r="C1421" s="2"/>
      <c r="D1421" s="3"/>
      <c r="E1421" s="14"/>
      <c r="F1421" s="3"/>
      <c r="G1421" s="36"/>
      <c r="H1421" s="36"/>
      <c r="I1421" s="36"/>
      <c r="J1421" s="36"/>
      <c r="K1421" s="31"/>
      <c r="L1421" s="7"/>
    </row>
    <row r="1422" spans="1:12">
      <c r="A1422">
        <v>15</v>
      </c>
      <c r="B1422" s="16"/>
      <c r="C1422" s="2"/>
      <c r="D1422" s="3"/>
      <c r="E1422" s="14"/>
      <c r="F1422" s="3"/>
      <c r="G1422" s="36"/>
      <c r="H1422" s="36"/>
      <c r="I1422" s="36"/>
      <c r="J1422" s="36"/>
      <c r="K1422" s="31"/>
      <c r="L1422" s="7"/>
    </row>
    <row r="1423" spans="1:12">
      <c r="A1423">
        <v>16</v>
      </c>
      <c r="B1423" s="16"/>
      <c r="C1423" s="2"/>
      <c r="D1423" s="3"/>
      <c r="E1423" s="14"/>
      <c r="F1423" s="3"/>
      <c r="G1423" s="36"/>
      <c r="H1423" s="36"/>
      <c r="I1423" s="36"/>
      <c r="J1423" s="36"/>
      <c r="K1423" s="31"/>
      <c r="L1423" s="7"/>
    </row>
    <row r="1424" spans="1:12">
      <c r="A1424">
        <v>17</v>
      </c>
      <c r="B1424" s="16"/>
      <c r="C1424" s="2"/>
      <c r="D1424" s="3"/>
      <c r="E1424" s="14"/>
      <c r="F1424" s="3"/>
      <c r="G1424" s="36"/>
      <c r="H1424" s="36"/>
      <c r="I1424" s="36"/>
      <c r="J1424" s="36"/>
      <c r="K1424" s="31"/>
      <c r="L1424" s="7"/>
    </row>
    <row r="1425" spans="1:12">
      <c r="A1425">
        <v>18</v>
      </c>
      <c r="B1425" s="16"/>
      <c r="C1425" s="2"/>
      <c r="D1425" s="3"/>
      <c r="E1425" s="14"/>
      <c r="F1425" s="3"/>
      <c r="G1425" s="36"/>
      <c r="H1425" s="36"/>
      <c r="I1425" s="36"/>
      <c r="J1425" s="36"/>
      <c r="K1425" s="31"/>
      <c r="L1425" s="7"/>
    </row>
    <row r="1426" spans="1:12">
      <c r="A1426">
        <v>19</v>
      </c>
      <c r="B1426" s="16"/>
      <c r="C1426" s="2"/>
      <c r="D1426" s="3"/>
      <c r="E1426" s="14"/>
      <c r="F1426" s="3"/>
      <c r="G1426" s="36"/>
      <c r="H1426" s="36"/>
      <c r="I1426" s="36"/>
      <c r="J1426" s="36"/>
      <c r="K1426" s="31"/>
      <c r="L1426" s="7"/>
    </row>
    <row r="1427" spans="1:12">
      <c r="A1427">
        <v>20</v>
      </c>
      <c r="B1427" s="16"/>
      <c r="C1427" s="2"/>
      <c r="D1427" s="3"/>
      <c r="E1427" s="3"/>
      <c r="F1427" s="14"/>
      <c r="G1427" s="3"/>
      <c r="H1427" s="36"/>
      <c r="I1427" s="36"/>
      <c r="J1427" s="36"/>
      <c r="K1427" s="44"/>
      <c r="L1427" s="31"/>
    </row>
    <row r="1428" spans="1:12">
      <c r="A1428">
        <v>21</v>
      </c>
      <c r="B1428" s="16"/>
      <c r="C1428" s="2"/>
      <c r="D1428" s="3"/>
      <c r="E1428" s="3"/>
      <c r="F1428" s="14"/>
      <c r="G1428" s="3"/>
      <c r="H1428" s="36"/>
      <c r="I1428" s="36"/>
      <c r="J1428" s="36"/>
      <c r="K1428" s="36"/>
      <c r="L1428" s="31"/>
    </row>
    <row r="1429" spans="1:12">
      <c r="A1429">
        <v>22</v>
      </c>
      <c r="B1429" s="16" t="s">
        <v>34</v>
      </c>
      <c r="C1429" s="2"/>
      <c r="D1429" s="3" t="s">
        <v>35</v>
      </c>
      <c r="E1429" s="14" t="s">
        <v>36</v>
      </c>
      <c r="F1429" s="36"/>
      <c r="G1429" s="36"/>
      <c r="H1429" s="36"/>
      <c r="I1429" s="36"/>
      <c r="J1429" s="30" t="s">
        <v>37</v>
      </c>
      <c r="K1429" s="3"/>
      <c r="L1429" s="7"/>
    </row>
    <row r="1430" spans="1:12" ht="19.5" thickBot="1">
      <c r="A1430">
        <v>23</v>
      </c>
      <c r="B1430" s="17" t="s">
        <v>38</v>
      </c>
      <c r="C1430" s="18"/>
      <c r="D1430" s="8" t="s">
        <v>39</v>
      </c>
      <c r="E1430" s="15" t="s">
        <v>36</v>
      </c>
      <c r="F1430" s="37"/>
      <c r="G1430" s="37"/>
      <c r="H1430" s="37"/>
      <c r="I1430" s="37"/>
      <c r="J1430" s="38" t="s">
        <v>37</v>
      </c>
      <c r="K1430" s="8"/>
      <c r="L1430" s="9" t="s">
        <v>50</v>
      </c>
    </row>
    <row r="1431" spans="1:12" ht="19.5" thickTop="1">
      <c r="J1431" s="43"/>
    </row>
    <row r="1432" spans="1:12">
      <c r="B1432" t="str">
        <f>HYPERLINK("#'テーブル設計'!B2","テーブル一覧")</f>
        <v>テーブル一覧</v>
      </c>
    </row>
  </sheetData>
  <mergeCells count="32">
    <mergeCell ref="B111:C111"/>
    <mergeCell ref="B362:C362"/>
    <mergeCell ref="B581:C581"/>
    <mergeCell ref="B619:C619"/>
    <mergeCell ref="B659:C659"/>
    <mergeCell ref="B541:C541"/>
    <mergeCell ref="B279:C279"/>
    <mergeCell ref="B323:C323"/>
    <mergeCell ref="B411:C411"/>
    <mergeCell ref="B454:C454"/>
    <mergeCell ref="B150:C150"/>
    <mergeCell ref="B190:C190"/>
    <mergeCell ref="B241:C241"/>
    <mergeCell ref="B501:C501"/>
    <mergeCell ref="B697:C697"/>
    <mergeCell ref="B1069:C1069"/>
    <mergeCell ref="B1117:C1117"/>
    <mergeCell ref="P1068:Q1068"/>
    <mergeCell ref="B896:C896"/>
    <mergeCell ref="B1020:C1020"/>
    <mergeCell ref="B977:C977"/>
    <mergeCell ref="B736:C736"/>
    <mergeCell ref="B777:C777"/>
    <mergeCell ref="B820:C820"/>
    <mergeCell ref="B858:C858"/>
    <mergeCell ref="B931:C931"/>
    <mergeCell ref="B1255:C1255"/>
    <mergeCell ref="B1299:C1299"/>
    <mergeCell ref="B1353:C1353"/>
    <mergeCell ref="B1407:C1407"/>
    <mergeCell ref="B1163:C1163"/>
    <mergeCell ref="B1207:C1207"/>
  </mergeCells>
  <phoneticPr fontId="7"/>
  <pageMargins left="0.25" right="0.25" top="0.75" bottom="0.75" header="0.3" footer="0.3"/>
  <pageSetup paperSize="9" scale="94" fitToHeight="0" orientation="landscape" r:id="rId1"/>
  <rowBreaks count="98" manualBreakCount="98">
    <brk id="20" max="11" man="1"/>
    <brk id="51" max="11" man="1"/>
    <brk id="84" max="16383" man="1"/>
    <brk id="110" max="11" man="1"/>
    <brk id="124" max="11" man="1"/>
    <brk id="149" max="11" man="1"/>
    <brk id="164" max="11" man="1"/>
    <brk id="189" max="11" man="1"/>
    <brk id="216" max="11" man="1"/>
    <brk id="240" max="11" man="1"/>
    <brk id="251" max="11" man="1"/>
    <brk id="278" max="11" man="1"/>
    <brk id="295" max="11" man="1"/>
    <brk id="322" max="11" man="1"/>
    <brk id="334" max="11" man="1"/>
    <brk id="378" max="11" man="1"/>
    <brk id="383" max="11" man="1"/>
    <brk id="410" max="11" man="1"/>
    <brk id="426" max="11" man="1"/>
    <brk id="453" max="11" man="1"/>
    <brk id="473" max="11" man="1"/>
    <brk id="513" max="11" man="1"/>
    <brk id="540" max="11" man="1"/>
    <brk id="553" max="11" man="1"/>
    <brk id="591" max="11" man="1"/>
    <brk id="618" max="11" man="1"/>
    <brk id="631" max="11" man="1"/>
    <brk id="669" max="11" man="1"/>
    <brk id="708" max="11" man="1"/>
    <brk id="735" max="11" man="1"/>
    <brk id="748" max="11" man="1"/>
    <brk id="776" max="11" man="1"/>
    <brk id="792" max="11" man="1"/>
    <brk id="819" max="11" man="1"/>
    <brk id="830" max="11" man="1"/>
    <brk id="868" max="11" man="1"/>
    <brk id="903" max="11" man="1"/>
    <brk id="930" max="11" man="1"/>
    <brk id="949" max="11" man="1"/>
    <brk id="976" max="11" man="1"/>
    <brk id="992" max="11" man="1"/>
    <brk id="1019" max="11" man="1"/>
    <brk id="1041" max="11" man="1"/>
    <brk id="1068" max="11" man="1"/>
    <brk id="1090" max="11" man="1"/>
    <brk id="1116" max="11" man="1"/>
    <brk id="1135" max="11" man="1"/>
    <brk id="1162" max="11" man="1"/>
    <brk id="1180" max="11" man="1"/>
    <brk id="1206" max="11" man="1"/>
    <brk id="334" max="11" man="1"/>
    <brk id="361" max="11" man="1"/>
    <brk id="383" max="11" man="1"/>
    <brk id="410" max="11" man="1"/>
    <brk id="426" max="11" man="1"/>
    <brk id="453" max="11" man="1"/>
    <brk id="473" max="11" man="1"/>
    <brk id="500" max="11" man="1"/>
    <brk id="513" max="11" man="1"/>
    <brk id="540" max="11" man="1"/>
    <brk id="553" max="11" man="1"/>
    <brk id="580" max="11" man="1"/>
    <brk id="591" max="11" man="1"/>
    <brk id="618" max="11" man="1"/>
    <brk id="631" max="11" man="1"/>
    <brk id="658" max="11" man="1"/>
    <brk id="669" max="11" man="1"/>
    <brk id="696" max="11" man="1"/>
    <brk id="708" max="11" man="1"/>
    <brk id="735" max="11" man="1"/>
    <brk id="748" max="11" man="1"/>
    <brk id="792" max="11" man="1"/>
    <brk id="819" max="11" man="1"/>
    <brk id="830" max="11" man="1"/>
    <brk id="857" max="11" man="1"/>
    <brk id="868" max="11" man="1"/>
    <brk id="895" max="11" man="1"/>
    <brk id="903" max="11" man="1"/>
    <brk id="930" max="11" man="1"/>
    <brk id="830" max="11" man="1"/>
    <brk id="857" max="11" man="1"/>
    <brk id="868" max="11" man="1"/>
    <brk id="949" max="11" man="1"/>
    <brk id="976" max="11" man="1"/>
    <brk id="868" max="11" man="1"/>
    <brk id="895" max="11" man="1"/>
    <brk id="992" max="11" man="1"/>
    <brk id="1019" max="11" man="1"/>
    <brk id="124" max="11" man="1"/>
    <brk id="149" max="11" man="1"/>
    <brk id="1227" max="11" man="1"/>
    <brk id="1254" max="11" man="1"/>
    <brk id="1271" max="11" man="1"/>
    <brk id="1298" max="11" man="1"/>
    <brk id="1325" max="11" man="1"/>
    <brk id="1352" max="11" man="1"/>
    <brk id="1379" max="11" man="1"/>
    <brk id="1406"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テーブル設計</vt:lpstr>
      <vt:lpstr>テーブル設計!Print_Area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辻谷 宣宏</dc:creator>
  <cp:lastModifiedBy>辻谷 宣宏</cp:lastModifiedBy>
  <cp:lastPrinted>2026-07-31T06:20:53Z</cp:lastPrinted>
  <dcterms:created xsi:type="dcterms:W3CDTF">2026-08-18T01:19:05Z</dcterms:created>
  <dcterms:modified xsi:type="dcterms:W3CDTF">2026-10-05T07:57:16Z</dcterms:modified>
</cp:coreProperties>
</file>